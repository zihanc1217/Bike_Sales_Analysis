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hidePivotFieldList="1" defaultThemeVersion="166925"/>
  <mc:AlternateContent xmlns:mc="http://schemas.openxmlformats.org/markup-compatibility/2006">
    <mc:Choice Requires="x15">
      <x15ac:absPath xmlns:x15ac="http://schemas.microsoft.com/office/spreadsheetml/2010/11/ac" url="/Users/barrychen/Desktop/Data Analyst Roadmap/Excel Project/"/>
    </mc:Choice>
  </mc:AlternateContent>
  <xr:revisionPtr revIDLastSave="0" documentId="13_ncr:1_{A8333A84-488C-E142-911C-BB9D76A45AF0}" xr6:coauthVersionLast="47" xr6:coauthVersionMax="47" xr10:uidLastSave="{00000000-0000-0000-0000-000000000000}"/>
  <bookViews>
    <workbookView xWindow="0" yWindow="740" windowWidth="30240" windowHeight="189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<sst xmlns="http://schemas.openxmlformats.org/spreadsheetml/2006/main" count="16274" uniqueCount="51">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</sst>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C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2"/>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70" fontId="0" fillId="0" borderId="0" xfId="0" applyNumberFormat="1"/>
    <xf numFmtId="170" fontId="0" fillId="0" borderId="0" xfId="42" applyNumberFormat="1" applyFont="1"/>
    <xf numFmtId="0" fontId="0" fillId="0" borderId="0" xfId="0" pivotButton="1"/>
    <xf numFmtId="0" fontId="0" fillId="0" borderId="0" xfId="0" applyAlignment="1">
      <alignment horizontal="left"/>
    </xf>
    <xf numFmtId="1"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Avg</a:t>
            </a:r>
            <a:r>
              <a:rPr lang="zh-CN" altLang="en-US"/>
              <a:t> </a:t>
            </a:r>
            <a:r>
              <a:rPr lang="en-US" altLang="zh-CN"/>
              <a:t>Income</a:t>
            </a:r>
            <a:r>
              <a:rPr lang="zh-CN" altLang="en-US"/>
              <a:t> </a:t>
            </a:r>
            <a:r>
              <a:rPr lang="en-US" altLang="zh-CN"/>
              <a:t>Per</a:t>
            </a:r>
            <a:r>
              <a:rPr lang="zh-CN" altLang="en-US"/>
              <a:t> </a:t>
            </a:r>
            <a:r>
              <a:rPr lang="en-US" altLang="zh-CN"/>
              <a:t>Purchase</a:t>
            </a:r>
            <a:r>
              <a:rPr lang="zh-CN" altLang="en-US"/>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184880875398"/>
          <c:y val="0.15074363320388767"/>
          <c:w val="0.6334256217073585"/>
          <c:h val="0.57134535602404535"/>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B47-7246-9C51-3759E980CF4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B47-7246-9C51-3759E980CF4E}"/>
            </c:ext>
          </c:extLst>
        </c:ser>
        <c:dLbls>
          <c:showLegendKey val="0"/>
          <c:showVal val="0"/>
          <c:showCatName val="0"/>
          <c:showSerName val="0"/>
          <c:showPercent val="0"/>
          <c:showBubbleSize val="0"/>
        </c:dLbls>
        <c:gapWidth val="219"/>
        <c:overlap val="-27"/>
        <c:axId val="786771888"/>
        <c:axId val="786773600"/>
      </c:barChart>
      <c:catAx>
        <c:axId val="78677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a:t>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786773600"/>
        <c:crosses val="autoZero"/>
        <c:auto val="1"/>
        <c:lblAlgn val="ctr"/>
        <c:lblOffset val="100"/>
        <c:noMultiLvlLbl val="0"/>
      </c:catAx>
      <c:valAx>
        <c:axId val="78677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altLang="zh-CN"/>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786771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CN"/>
          </a:p>
        </c:txPr>
      </c:dTable>
      <c:spPr>
        <a:noFill/>
        <a:ln>
          <a:noFill/>
        </a:ln>
        <a:effectLst/>
      </c:spPr>
    </c:plotArea>
    <c:legend>
      <c:legendPos val="r"/>
      <c:layout>
        <c:manualLayout>
          <c:xMode val="edge"/>
          <c:yMode val="edge"/>
          <c:x val="0.82954752733246462"/>
          <c:y val="0.43493247819828978"/>
          <c:w val="5.3700531751712854E-2"/>
          <c:h val="9.15611364662219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Customer</a:t>
            </a:r>
            <a:r>
              <a:rPr lang="zh-CN" altLang="en-US"/>
              <a:t> </a:t>
            </a:r>
            <a:r>
              <a:rPr lang="en-US" altLang="zh-CN"/>
              <a:t>Commute</a:t>
            </a:r>
            <a:r>
              <a:rPr lang="zh-CN" alt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Table'!$A$31:$A$36</c:f>
              <c:strCache>
                <c:ptCount val="5"/>
                <c:pt idx="0">
                  <c:v>0-1 Miles</c:v>
                </c:pt>
                <c:pt idx="1">
                  <c:v>1-2 Miles</c:v>
                </c:pt>
                <c:pt idx="2">
                  <c:v>2-5 Miles</c:v>
                </c:pt>
                <c:pt idx="3">
                  <c:v>5-10 Miles</c:v>
                </c:pt>
                <c:pt idx="4">
                  <c:v>More than 10 Miles</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FC-E746-9026-05E492B655FA}"/>
            </c:ext>
          </c:extLst>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Table'!$A$31:$A$36</c:f>
              <c:strCache>
                <c:ptCount val="5"/>
                <c:pt idx="0">
                  <c:v>0-1 Miles</c:v>
                </c:pt>
                <c:pt idx="1">
                  <c:v>1-2 Miles</c:v>
                </c:pt>
                <c:pt idx="2">
                  <c:v>2-5 Miles</c:v>
                </c:pt>
                <c:pt idx="3">
                  <c:v>5-10 Miles</c:v>
                </c:pt>
                <c:pt idx="4">
                  <c:v>More than 10 Miles</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5FC-E746-9026-05E492B655FA}"/>
            </c:ext>
          </c:extLst>
        </c:ser>
        <c:dLbls>
          <c:showLegendKey val="0"/>
          <c:showVal val="0"/>
          <c:showCatName val="0"/>
          <c:showSerName val="0"/>
          <c:showPercent val="0"/>
          <c:showBubbleSize val="0"/>
        </c:dLbls>
        <c:smooth val="0"/>
        <c:axId val="1135708352"/>
        <c:axId val="1135819664"/>
      </c:lineChart>
      <c:catAx>
        <c:axId val="113570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a:t>Communite</a:t>
                </a:r>
                <a:r>
                  <a:rPr lang="zh-CN" altLang="en-US"/>
                  <a:t> </a:t>
                </a:r>
                <a:r>
                  <a:rPr lang="en-US" altLang="zh-CN"/>
                  <a:t>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135819664"/>
        <c:crosses val="autoZero"/>
        <c:auto val="1"/>
        <c:lblAlgn val="ctr"/>
        <c:lblOffset val="100"/>
        <c:noMultiLvlLbl val="0"/>
      </c:catAx>
      <c:valAx>
        <c:axId val="113581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13570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4FB-D043-8E02-3E23E1D8D248}"/>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4FB-D043-8E02-3E23E1D8D248}"/>
            </c:ext>
          </c:extLst>
        </c:ser>
        <c:dLbls>
          <c:showLegendKey val="0"/>
          <c:showVal val="0"/>
          <c:showCatName val="0"/>
          <c:showSerName val="0"/>
          <c:showPercent val="0"/>
          <c:showBubbleSize val="0"/>
        </c:dLbls>
        <c:marker val="1"/>
        <c:smooth val="0"/>
        <c:axId val="1562957247"/>
        <c:axId val="1562958959"/>
      </c:lineChart>
      <c:catAx>
        <c:axId val="156295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562958959"/>
        <c:crosses val="autoZero"/>
        <c:auto val="1"/>
        <c:lblAlgn val="ctr"/>
        <c:lblOffset val="100"/>
        <c:noMultiLvlLbl val="0"/>
      </c:catAx>
      <c:valAx>
        <c:axId val="156295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5629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Table'!$B$72:$B$125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496-7D4D-B0DA-F61E6C38A20C}"/>
            </c:ext>
          </c:extLst>
        </c:ser>
        <c:ser>
          <c:idx val="1"/>
          <c:order val="1"/>
          <c:tx>
            <c:strRef>
              <c:f>'Pivot Table'!$C$70:$C$71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Table'!$C$72:$C$125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496-7D4D-B0DA-F61E6C38A20C}"/>
            </c:ext>
          </c:extLst>
        </c:ser>
        <c:dLbls>
          <c:showLegendKey val="0"/>
          <c:showVal val="0"/>
          <c:showCatName val="0"/>
          <c:showSerName val="0"/>
          <c:showPercent val="0"/>
          <c:showBubbleSize val="0"/>
        </c:dLbls>
        <c:marker val="1"/>
        <c:smooth val="0"/>
        <c:axId val="784685088"/>
        <c:axId val="785302864"/>
      </c:lineChart>
      <c:catAx>
        <c:axId val="78468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785302864"/>
        <c:crosses val="autoZero"/>
        <c:auto val="1"/>
        <c:lblAlgn val="ctr"/>
        <c:lblOffset val="100"/>
        <c:noMultiLvlLbl val="0"/>
      </c:catAx>
      <c:valAx>
        <c:axId val="78530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78468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Avg</a:t>
            </a:r>
            <a:r>
              <a:rPr lang="zh-CN" altLang="en-US"/>
              <a:t> </a:t>
            </a:r>
            <a:r>
              <a:rPr lang="en-US" altLang="zh-CN"/>
              <a:t>Income</a:t>
            </a:r>
            <a:r>
              <a:rPr lang="zh-CN" altLang="en-US"/>
              <a:t> </a:t>
            </a:r>
            <a:r>
              <a:rPr lang="en-US" altLang="zh-CN"/>
              <a:t>Per</a:t>
            </a:r>
            <a:r>
              <a:rPr lang="zh-CN" altLang="en-US"/>
              <a:t> </a:t>
            </a:r>
            <a:r>
              <a:rPr lang="en-US" altLang="zh-CN"/>
              <a:t>Purchase</a:t>
            </a:r>
            <a:r>
              <a:rPr lang="zh-CN" altLang="en-US"/>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184880875398"/>
          <c:y val="0.15074363320388767"/>
          <c:w val="0.6334256217073585"/>
          <c:h val="0.57134535602404535"/>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EBF-B14D-80FE-E93D656C8D8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EBF-B14D-80FE-E93D656C8D8E}"/>
            </c:ext>
          </c:extLst>
        </c:ser>
        <c:dLbls>
          <c:showLegendKey val="0"/>
          <c:showVal val="0"/>
          <c:showCatName val="0"/>
          <c:showSerName val="0"/>
          <c:showPercent val="0"/>
          <c:showBubbleSize val="0"/>
        </c:dLbls>
        <c:gapWidth val="219"/>
        <c:overlap val="-27"/>
        <c:axId val="786771888"/>
        <c:axId val="786773600"/>
      </c:barChart>
      <c:catAx>
        <c:axId val="78677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a:t>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786773600"/>
        <c:crosses val="autoZero"/>
        <c:auto val="1"/>
        <c:lblAlgn val="ctr"/>
        <c:lblOffset val="100"/>
        <c:noMultiLvlLbl val="0"/>
      </c:catAx>
      <c:valAx>
        <c:axId val="78677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altLang="zh-CN"/>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786771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CN"/>
          </a:p>
        </c:txPr>
      </c:dTable>
      <c:spPr>
        <a:noFill/>
        <a:ln>
          <a:noFill/>
        </a:ln>
        <a:effectLst/>
      </c:spPr>
    </c:plotArea>
    <c:legend>
      <c:legendPos val="r"/>
      <c:layout>
        <c:manualLayout>
          <c:xMode val="edge"/>
          <c:yMode val="edge"/>
          <c:x val="0.82954752733246462"/>
          <c:y val="0.43493247819828978"/>
          <c:w val="9.2560687038472519E-2"/>
          <c:h val="0.14360565524105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zh-CN"/>
              <a:t> </a:t>
            </a:r>
            <a:r>
              <a:rPr lang="en-US"/>
              <a:t>Commute</a:t>
            </a:r>
            <a:r>
              <a:rPr lang="zh-CN"/>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Table'!$A$31:$A$36</c:f>
              <c:strCache>
                <c:ptCount val="5"/>
                <c:pt idx="0">
                  <c:v>0-1 Miles</c:v>
                </c:pt>
                <c:pt idx="1">
                  <c:v>1-2 Miles</c:v>
                </c:pt>
                <c:pt idx="2">
                  <c:v>2-5 Miles</c:v>
                </c:pt>
                <c:pt idx="3">
                  <c:v>5-10 Miles</c:v>
                </c:pt>
                <c:pt idx="4">
                  <c:v>More than 10 Miles</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DA1-D64E-A2B4-28C38C266392}"/>
            </c:ext>
          </c:extLst>
        </c:ser>
        <c:ser>
          <c:idx val="1"/>
          <c:order val="1"/>
          <c:tx>
            <c:strRef>
              <c:f>'Pivot Table'!$C$29:$C$30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Table'!$A$31:$A$36</c:f>
              <c:strCache>
                <c:ptCount val="5"/>
                <c:pt idx="0">
                  <c:v>0-1 Miles</c:v>
                </c:pt>
                <c:pt idx="1">
                  <c:v>1-2 Miles</c:v>
                </c:pt>
                <c:pt idx="2">
                  <c:v>2-5 Miles</c:v>
                </c:pt>
                <c:pt idx="3">
                  <c:v>5-10 Miles</c:v>
                </c:pt>
                <c:pt idx="4">
                  <c:v>More than 10 Miles</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DA1-D64E-A2B4-28C38C266392}"/>
            </c:ext>
          </c:extLst>
        </c:ser>
        <c:dLbls>
          <c:showLegendKey val="0"/>
          <c:showVal val="0"/>
          <c:showCatName val="0"/>
          <c:showSerName val="0"/>
          <c:showPercent val="0"/>
          <c:showBubbleSize val="0"/>
        </c:dLbls>
        <c:marker val="1"/>
        <c:smooth val="0"/>
        <c:axId val="1135708352"/>
        <c:axId val="1135819664"/>
      </c:lineChart>
      <c:catAx>
        <c:axId val="113570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Communite</a:t>
                </a:r>
                <a:r>
                  <a:rPr lang="zh-CN"/>
                  <a:t> </a:t>
                </a: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135819664"/>
        <c:crosses val="autoZero"/>
        <c:auto val="1"/>
        <c:lblAlgn val="ctr"/>
        <c:lblOffset val="100"/>
        <c:noMultiLvlLbl val="0"/>
      </c:catAx>
      <c:valAx>
        <c:axId val="113581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13570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4E0-C040-9F3E-1F99E6705878}"/>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4E0-C040-9F3E-1F99E6705878}"/>
            </c:ext>
          </c:extLst>
        </c:ser>
        <c:dLbls>
          <c:showLegendKey val="0"/>
          <c:showVal val="0"/>
          <c:showCatName val="0"/>
          <c:showSerName val="0"/>
          <c:showPercent val="0"/>
          <c:showBubbleSize val="0"/>
        </c:dLbls>
        <c:marker val="1"/>
        <c:smooth val="0"/>
        <c:axId val="1562957247"/>
        <c:axId val="1562958959"/>
      </c:lineChart>
      <c:catAx>
        <c:axId val="156295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562958959"/>
        <c:crosses val="autoZero"/>
        <c:auto val="1"/>
        <c:lblAlgn val="ctr"/>
        <c:lblOffset val="100"/>
        <c:noMultiLvlLbl val="0"/>
      </c:catAx>
      <c:valAx>
        <c:axId val="156295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crossAx val="15629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25400</xdr:colOff>
      <xdr:row>0</xdr:row>
      <xdr:rowOff>0</xdr:rowOff>
    </xdr:from>
    <xdr:to>
      <xdr:col>12</xdr:col>
      <xdr:colOff>482600</xdr:colOff>
      <xdr:row>24</xdr:row>
      <xdr:rowOff>152400</xdr:rowOff>
    </xdr:to>
    <xdr:graphicFrame macro="">
      <xdr:nvGraphicFramePr>
        <xdr:cNvPr id="2" name="Chart 1">
          <a:extLst>
            <a:ext uri="{FF2B5EF4-FFF2-40B4-BE49-F238E27FC236}">
              <a16:creationId xmlns:a16="http://schemas.microsoft.com/office/drawing/2014/main" id="{AFE9C29E-68C2-99BB-6BD5-473AEBBB6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452120</xdr:colOff>
      <xdr:row>27</xdr:row>
      <xdr:rowOff>132080</xdr:rowOff>
    </xdr:from>
    <xdr:to>
      <xdr:col>12</xdr:col>
      <xdr:colOff>223520</xdr:colOff>
      <xdr:row>45</xdr:row>
      <xdr:rowOff>81280</xdr:rowOff>
    </xdr:to>
    <xdr:graphicFrame macro="">
      <xdr:nvGraphicFramePr>
        <xdr:cNvPr id="3" name="Chart 2">
          <a:extLst>
            <a:ext uri="{FF2B5EF4-FFF2-40B4-BE49-F238E27FC236}">
              <a16:creationId xmlns:a16="http://schemas.microsoft.com/office/drawing/2014/main" id="{8D85C041-D495-85DE-A96B-A6380BF5B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645160</xdr:colOff>
      <xdr:row>48</xdr:row>
      <xdr:rowOff>0</xdr:rowOff>
    </xdr:from>
    <xdr:to>
      <xdr:col>12</xdr:col>
      <xdr:colOff>101600</xdr:colOff>
      <xdr:row>63</xdr:row>
      <xdr:rowOff>182880</xdr:rowOff>
    </xdr:to>
    <xdr:graphicFrame macro="">
      <xdr:nvGraphicFramePr>
        <xdr:cNvPr id="4" name="Chart 3">
          <a:extLst>
            <a:ext uri="{FF2B5EF4-FFF2-40B4-BE49-F238E27FC236}">
              <a16:creationId xmlns:a16="http://schemas.microsoft.com/office/drawing/2014/main" id="{60A3F4A3-20B3-A3A2-F255-F934EE4D6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574040</xdr:colOff>
      <xdr:row>68</xdr:row>
      <xdr:rowOff>172720</xdr:rowOff>
    </xdr:from>
    <xdr:to>
      <xdr:col>11</xdr:col>
      <xdr:colOff>731520</xdr:colOff>
      <xdr:row>89</xdr:row>
      <xdr:rowOff>121920</xdr:rowOff>
    </xdr:to>
    <xdr:graphicFrame macro="">
      <xdr:nvGraphicFramePr>
        <xdr:cNvPr id="5" name="Chart 4">
          <a:extLst>
            <a:ext uri="{FF2B5EF4-FFF2-40B4-BE49-F238E27FC236}">
              <a16:creationId xmlns:a16="http://schemas.microsoft.com/office/drawing/2014/main" id="{18333583-C5D1-AB39-BDFD-C0AF9A1F9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4</xdr:row>
      <xdr:rowOff>12700</xdr:rowOff>
    </xdr:from>
    <xdr:to>
      <xdr:col>7</xdr:col>
      <xdr:colOff>711200</xdr:colOff>
      <xdr:row>20</xdr:row>
      <xdr:rowOff>25400</xdr:rowOff>
    </xdr:to>
    <xdr:graphicFrame macro="">
      <xdr:nvGraphicFramePr>
        <xdr:cNvPr id="2" name="Chart 1">
          <a:extLst>
            <a:ext uri="{FF2B5EF4-FFF2-40B4-BE49-F238E27FC236}">
              <a16:creationId xmlns:a16="http://schemas.microsoft.com/office/drawing/2014/main" id="{C9FA8E82-8973-E540-BBC0-9916CBD1C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20</xdr:row>
      <xdr:rowOff>50800</xdr:rowOff>
    </xdr:from>
    <xdr:to>
      <xdr:col>13</xdr:col>
      <xdr:colOff>0</xdr:colOff>
      <xdr:row>38</xdr:row>
      <xdr:rowOff>45720</xdr:rowOff>
    </xdr:to>
    <xdr:graphicFrame macro="">
      <xdr:nvGraphicFramePr>
        <xdr:cNvPr id="3" name="Chart 2">
          <a:extLst>
            <a:ext uri="{FF2B5EF4-FFF2-40B4-BE49-F238E27FC236}">
              <a16:creationId xmlns:a16="http://schemas.microsoft.com/office/drawing/2014/main" id="{4E662A6F-4AF5-2746-AFBE-C06CACCD0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736600</xdr:colOff>
      <xdr:row>4</xdr:row>
      <xdr:rowOff>25400</xdr:rowOff>
    </xdr:from>
    <xdr:to>
      <xdr:col>13</xdr:col>
      <xdr:colOff>0</xdr:colOff>
      <xdr:row>20</xdr:row>
      <xdr:rowOff>25400</xdr:rowOff>
    </xdr:to>
    <xdr:graphicFrame macro="">
      <xdr:nvGraphicFramePr>
        <xdr:cNvPr id="4" name="Chart 3">
          <a:extLst>
            <a:ext uri="{FF2B5EF4-FFF2-40B4-BE49-F238E27FC236}">
              <a16:creationId xmlns:a16="http://schemas.microsoft.com/office/drawing/2014/main" id="{D027FF82-1FD6-0C4B-9D7E-7E70BFB88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xdr:rowOff>
    </xdr:from>
    <xdr:to>
      <xdr:col>2</xdr:col>
      <xdr:colOff>431800</xdr:colOff>
      <xdr:row>9</xdr:row>
      <xdr:rowOff>12700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D7A8075-3A9F-110C-3F01-93C62B0B3A4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2001"/>
              <a:ext cx="208280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25400</xdr:rowOff>
    </xdr:from>
    <xdr:to>
      <xdr:col>2</xdr:col>
      <xdr:colOff>431800</xdr:colOff>
      <xdr:row>18</xdr:row>
      <xdr:rowOff>25399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4FCFDE4-16D6-46A3-AB77-640D27B0CD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739900"/>
              <a:ext cx="20828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12700</xdr:rowOff>
    </xdr:from>
    <xdr:to>
      <xdr:col>2</xdr:col>
      <xdr:colOff>406400</xdr:colOff>
      <xdr:row>25</xdr:row>
      <xdr:rowOff>25399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0D1B5B1-7279-0A95-6ABC-6333DA0DD2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441700"/>
              <a:ext cx="2057400" cy="1346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8.192236226852" createdVersion="8" refreshedVersion="8" minRefreshableVersion="3" recordCount="1000" xr:uid="{F1DD3D84-CBCC-3E45-A90B-1690AAB6717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0262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964EE-C166-5F45-83E6-BC6EDB53F3D4}" name="PivotTable7"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D125"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0CF749-A834-F945-99ED-EA2B01F87BA2}"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D53"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865324-1442-F245-9FF5-7295570BE845}"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9:D36"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910D94-493D-8B41-9283-64A15B811004}"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0"/>
  </dataFields>
  <formats count="2">
    <format dxfId="47">
      <pivotArea collapsedLevelsAreSubtotals="1" fieldPosition="0">
        <references count="1">
          <reference field="2" count="0"/>
        </references>
      </pivotArea>
    </format>
    <format dxfId="46">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FFA4761-D888-504D-9420-F157B9A66159}" sourceName="Marital Status">
  <pivotTables>
    <pivotTable tabId="3" name="PivotTable4"/>
    <pivotTable tabId="3" name="PivotTable5"/>
    <pivotTable tabId="3" name="PivotTable6"/>
    <pivotTable tabId="3" name="PivotTable7"/>
  </pivotTables>
  <data>
    <tabular pivotCacheId="1802625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042A575-A31B-EC4D-A1B2-B1EE382270A3}" sourceName="Education">
  <pivotTables>
    <pivotTable tabId="3" name="PivotTable4"/>
    <pivotTable tabId="3" name="PivotTable5"/>
    <pivotTable tabId="3" name="PivotTable6"/>
    <pivotTable tabId="3" name="PivotTable7"/>
  </pivotTables>
  <data>
    <tabular pivotCacheId="18026255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CB5F49-7B51-3C4B-BB6F-5A7897C793E6}" sourceName="Region">
  <pivotTables>
    <pivotTable tabId="3" name="PivotTable4"/>
    <pivotTable tabId="3" name="PivotTable5"/>
    <pivotTable tabId="3" name="PivotTable6"/>
    <pivotTable tabId="3" name="PivotTable7"/>
  </pivotTables>
  <data>
    <tabular pivotCacheId="1802625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6B2ACC6-3315-454A-818F-FDA516C15FBC}" cache="Slicer_Marital_Status" caption="Marital Status" rowHeight="230716"/>
  <slicer name="Education" xr10:uid="{8AA3AC93-2A06-DE49-B72F-BBCA66EA18E5}" cache="Slicer_Education" caption="Education" rowHeight="230716"/>
  <slicer name="Region" xr10:uid="{FA1196EA-87FD-3F44-ADFA-AAC389A2F75F}"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25" sqref="P25"/>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C455-46C3-4740-A04F-A21AC610E080}">
  <dimension ref="A1:N1027"/>
  <sheetViews>
    <sheetView topLeftCell="E968" zoomScale="132" workbookViewId="0">
      <selection activeCell="P979" sqref="P979"/>
    </sheetView>
  </sheetViews>
  <sheetFormatPr baseColWidth="10" defaultRowHeight="15" x14ac:dyDescent="0.2"/>
  <cols>
    <col min="2" max="2" width="13.5" customWidth="1"/>
    <col min="4" max="4" width="13.1640625" style="4" customWidth="1"/>
    <col min="6" max="6" width="16.5" customWidth="1"/>
    <col min="7" max="7" width="17" customWidth="1"/>
    <col min="8" max="8" width="11.5" customWidth="1"/>
    <col min="10" max="10" width="19.1640625" customWidth="1"/>
    <col min="11" max="11" width="12.6640625" customWidth="1"/>
    <col min="12" max="12" width="13" customWidth="1"/>
    <col min="13" max="13" width="18.83203125" customWidth="1"/>
    <col min="14" max="14" width="13.1640625" customWidth="1"/>
  </cols>
  <sheetData>
    <row r="1" spans="1:14" x14ac:dyDescent="0.2">
      <c r="A1" t="s">
        <v>0</v>
      </c>
      <c r="B1" t="s">
        <v>1</v>
      </c>
      <c r="C1" t="s">
        <v>2</v>
      </c>
      <c r="D1" s="4" t="s">
        <v>3</v>
      </c>
      <c r="E1" t="s">
        <v>4</v>
      </c>
      <c r="F1" t="s">
        <v>5</v>
      </c>
      <c r="G1" t="s">
        <v>6</v>
      </c>
      <c r="H1" t="s">
        <v>7</v>
      </c>
      <c r="I1" t="s">
        <v>8</v>
      </c>
      <c r="J1" t="s">
        <v>9</v>
      </c>
      <c r="K1" t="s">
        <v>10</v>
      </c>
      <c r="L1" t="s">
        <v>11</v>
      </c>
      <c r="M1" t="s">
        <v>40</v>
      </c>
      <c r="N1" t="s">
        <v>12</v>
      </c>
    </row>
    <row r="2" spans="1:14" x14ac:dyDescent="0.2">
      <c r="A2">
        <v>12496</v>
      </c>
      <c r="B2" t="s">
        <v>36</v>
      </c>
      <c r="C2" t="s">
        <v>39</v>
      </c>
      <c r="D2" s="5">
        <v>40000</v>
      </c>
      <c r="E2">
        <v>1</v>
      </c>
      <c r="F2" t="s">
        <v>13</v>
      </c>
      <c r="G2" t="s">
        <v>14</v>
      </c>
      <c r="H2" t="s">
        <v>15</v>
      </c>
      <c r="I2">
        <v>0</v>
      </c>
      <c r="J2" t="s">
        <v>16</v>
      </c>
      <c r="K2" t="s">
        <v>17</v>
      </c>
      <c r="L2">
        <v>42</v>
      </c>
      <c r="M2" t="str">
        <f>IF(L2&gt;54, "Old", IF(L2&gt;=31, "Middle Age", IF(L2 &lt; 31, "Adolescent", "Invalid")))</f>
        <v>Middle Age</v>
      </c>
      <c r="N2" t="s">
        <v>18</v>
      </c>
    </row>
    <row r="3" spans="1:14" x14ac:dyDescent="0.2">
      <c r="A3">
        <v>24107</v>
      </c>
      <c r="B3" t="s">
        <v>36</v>
      </c>
      <c r="C3" t="s">
        <v>38</v>
      </c>
      <c r="D3" s="4">
        <v>30000</v>
      </c>
      <c r="E3">
        <v>3</v>
      </c>
      <c r="F3" t="s">
        <v>19</v>
      </c>
      <c r="G3" t="s">
        <v>20</v>
      </c>
      <c r="H3" t="s">
        <v>15</v>
      </c>
      <c r="I3">
        <v>1</v>
      </c>
      <c r="J3" t="s">
        <v>16</v>
      </c>
      <c r="K3" t="s">
        <v>17</v>
      </c>
      <c r="L3">
        <v>43</v>
      </c>
      <c r="M3" t="str">
        <f t="shared" ref="M3:M66" si="0">IF(L3&gt;54, "Old", IF(L3&gt;=31, "Middle Age", IF(L3 &lt; 31, "Adolescent", "Invalid")))</f>
        <v>Middle Age</v>
      </c>
      <c r="N3" t="s">
        <v>18</v>
      </c>
    </row>
    <row r="4" spans="1:14" x14ac:dyDescent="0.2">
      <c r="A4">
        <v>14177</v>
      </c>
      <c r="B4" t="s">
        <v>36</v>
      </c>
      <c r="C4" t="s">
        <v>38</v>
      </c>
      <c r="D4" s="4">
        <v>80000</v>
      </c>
      <c r="E4">
        <v>5</v>
      </c>
      <c r="F4" t="s">
        <v>19</v>
      </c>
      <c r="G4" t="s">
        <v>21</v>
      </c>
      <c r="H4" t="s">
        <v>18</v>
      </c>
      <c r="I4">
        <v>2</v>
      </c>
      <c r="J4" t="s">
        <v>22</v>
      </c>
      <c r="K4" t="s">
        <v>17</v>
      </c>
      <c r="L4">
        <v>60</v>
      </c>
      <c r="M4" t="str">
        <f t="shared" si="0"/>
        <v>Old</v>
      </c>
      <c r="N4" t="s">
        <v>18</v>
      </c>
    </row>
    <row r="5" spans="1:14" x14ac:dyDescent="0.2">
      <c r="A5">
        <v>24381</v>
      </c>
      <c r="B5" t="s">
        <v>37</v>
      </c>
      <c r="C5" t="s">
        <v>38</v>
      </c>
      <c r="D5" s="4">
        <v>70000</v>
      </c>
      <c r="E5">
        <v>0</v>
      </c>
      <c r="F5" t="s">
        <v>13</v>
      </c>
      <c r="G5" t="s">
        <v>21</v>
      </c>
      <c r="H5" t="s">
        <v>15</v>
      </c>
      <c r="I5">
        <v>1</v>
      </c>
      <c r="J5" t="s">
        <v>23</v>
      </c>
      <c r="K5" t="s">
        <v>24</v>
      </c>
      <c r="L5">
        <v>41</v>
      </c>
      <c r="M5" t="str">
        <f t="shared" si="0"/>
        <v>Middle Age</v>
      </c>
      <c r="N5" t="s">
        <v>15</v>
      </c>
    </row>
    <row r="6" spans="1:14" x14ac:dyDescent="0.2">
      <c r="A6">
        <v>25597</v>
      </c>
      <c r="B6" t="s">
        <v>37</v>
      </c>
      <c r="C6" t="s">
        <v>38</v>
      </c>
      <c r="D6" s="4">
        <v>30000</v>
      </c>
      <c r="E6">
        <v>0</v>
      </c>
      <c r="F6" t="s">
        <v>13</v>
      </c>
      <c r="G6" t="s">
        <v>20</v>
      </c>
      <c r="H6" t="s">
        <v>18</v>
      </c>
      <c r="I6">
        <v>0</v>
      </c>
      <c r="J6" t="s">
        <v>16</v>
      </c>
      <c r="K6" t="s">
        <v>17</v>
      </c>
      <c r="L6">
        <v>36</v>
      </c>
      <c r="M6" t="str">
        <f t="shared" si="0"/>
        <v>Middle Age</v>
      </c>
      <c r="N6" t="s">
        <v>15</v>
      </c>
    </row>
    <row r="7" spans="1:14" x14ac:dyDescent="0.2">
      <c r="A7">
        <v>13507</v>
      </c>
      <c r="B7" t="s">
        <v>36</v>
      </c>
      <c r="C7" t="s">
        <v>39</v>
      </c>
      <c r="D7" s="4">
        <v>10000</v>
      </c>
      <c r="E7">
        <v>2</v>
      </c>
      <c r="F7" t="s">
        <v>19</v>
      </c>
      <c r="G7" t="s">
        <v>25</v>
      </c>
      <c r="H7" t="s">
        <v>15</v>
      </c>
      <c r="I7">
        <v>0</v>
      </c>
      <c r="J7" t="s">
        <v>26</v>
      </c>
      <c r="K7" t="s">
        <v>17</v>
      </c>
      <c r="L7">
        <v>50</v>
      </c>
      <c r="M7" t="str">
        <f t="shared" si="0"/>
        <v>Middle Age</v>
      </c>
      <c r="N7" t="s">
        <v>18</v>
      </c>
    </row>
    <row r="8" spans="1:14" x14ac:dyDescent="0.2">
      <c r="A8">
        <v>27974</v>
      </c>
      <c r="B8" t="s">
        <v>37</v>
      </c>
      <c r="C8" t="s">
        <v>38</v>
      </c>
      <c r="D8" s="4">
        <v>160000</v>
      </c>
      <c r="E8">
        <v>2</v>
      </c>
      <c r="F8" t="s">
        <v>27</v>
      </c>
      <c r="G8" t="s">
        <v>28</v>
      </c>
      <c r="H8" t="s">
        <v>15</v>
      </c>
      <c r="I8">
        <v>4</v>
      </c>
      <c r="J8" t="s">
        <v>16</v>
      </c>
      <c r="K8" t="s">
        <v>24</v>
      </c>
      <c r="L8">
        <v>33</v>
      </c>
      <c r="M8" t="str">
        <f t="shared" si="0"/>
        <v>Middle Age</v>
      </c>
      <c r="N8" t="s">
        <v>15</v>
      </c>
    </row>
    <row r="9" spans="1:14" x14ac:dyDescent="0.2">
      <c r="A9">
        <v>19364</v>
      </c>
      <c r="B9" t="s">
        <v>36</v>
      </c>
      <c r="C9" t="s">
        <v>38</v>
      </c>
      <c r="D9" s="4">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4">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4">
        <v>90000</v>
      </c>
      <c r="E13">
        <v>0</v>
      </c>
      <c r="F13" t="s">
        <v>13</v>
      </c>
      <c r="G13" t="s">
        <v>21</v>
      </c>
      <c r="H13" t="s">
        <v>18</v>
      </c>
      <c r="I13">
        <v>4</v>
      </c>
      <c r="J13" t="s">
        <v>49</v>
      </c>
      <c r="K13" t="s">
        <v>24</v>
      </c>
      <c r="L13">
        <v>36</v>
      </c>
      <c r="M13" t="str">
        <f t="shared" si="0"/>
        <v>Middle Age</v>
      </c>
      <c r="N13" t="s">
        <v>18</v>
      </c>
    </row>
    <row r="14" spans="1:14" x14ac:dyDescent="0.2">
      <c r="A14">
        <v>11434</v>
      </c>
      <c r="B14" t="s">
        <v>36</v>
      </c>
      <c r="C14" t="s">
        <v>38</v>
      </c>
      <c r="D14" s="4">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4">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4">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4">
        <v>80000</v>
      </c>
      <c r="E23">
        <v>0</v>
      </c>
      <c r="F23" t="s">
        <v>13</v>
      </c>
      <c r="G23" t="s">
        <v>21</v>
      </c>
      <c r="H23" t="s">
        <v>15</v>
      </c>
      <c r="I23">
        <v>4</v>
      </c>
      <c r="J23" t="s">
        <v>49</v>
      </c>
      <c r="K23" t="s">
        <v>24</v>
      </c>
      <c r="L23">
        <v>35</v>
      </c>
      <c r="M23" t="str">
        <f t="shared" si="0"/>
        <v>Middle Age</v>
      </c>
      <c r="N23" t="s">
        <v>18</v>
      </c>
    </row>
    <row r="24" spans="1:14" x14ac:dyDescent="0.2">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4">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4">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4">
        <v>80000</v>
      </c>
      <c r="E53">
        <v>0</v>
      </c>
      <c r="F53" t="s">
        <v>13</v>
      </c>
      <c r="G53" t="s">
        <v>21</v>
      </c>
      <c r="H53" t="s">
        <v>18</v>
      </c>
      <c r="I53">
        <v>4</v>
      </c>
      <c r="J53" t="s">
        <v>49</v>
      </c>
      <c r="K53" t="s">
        <v>24</v>
      </c>
      <c r="L53">
        <v>35</v>
      </c>
      <c r="M53" t="str">
        <f t="shared" si="0"/>
        <v>Middle Age</v>
      </c>
      <c r="N53" t="s">
        <v>18</v>
      </c>
    </row>
    <row r="54" spans="1:14" x14ac:dyDescent="0.2">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4">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4">
        <v>80000</v>
      </c>
      <c r="E57">
        <v>4</v>
      </c>
      <c r="F57" t="s">
        <v>27</v>
      </c>
      <c r="G57" t="s">
        <v>21</v>
      </c>
      <c r="H57" t="s">
        <v>15</v>
      </c>
      <c r="I57">
        <v>2</v>
      </c>
      <c r="J57" t="s">
        <v>49</v>
      </c>
      <c r="K57" t="s">
        <v>17</v>
      </c>
      <c r="L57">
        <v>54</v>
      </c>
      <c r="M57" t="str">
        <f t="shared" si="0"/>
        <v>Middle Age</v>
      </c>
      <c r="N57" t="s">
        <v>18</v>
      </c>
    </row>
    <row r="58" spans="1:14" x14ac:dyDescent="0.2">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4">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4">
        <v>60000</v>
      </c>
      <c r="E65">
        <v>4</v>
      </c>
      <c r="F65" t="s">
        <v>13</v>
      </c>
      <c r="G65" t="s">
        <v>21</v>
      </c>
      <c r="H65" t="s">
        <v>15</v>
      </c>
      <c r="I65">
        <v>3</v>
      </c>
      <c r="J65" t="s">
        <v>49</v>
      </c>
      <c r="K65" t="s">
        <v>24</v>
      </c>
      <c r="L65">
        <v>41</v>
      </c>
      <c r="M65" t="str">
        <f t="shared" si="0"/>
        <v>Middle Age</v>
      </c>
      <c r="N65" t="s">
        <v>18</v>
      </c>
    </row>
    <row r="66" spans="1:14" x14ac:dyDescent="0.2">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4">
        <v>30000</v>
      </c>
      <c r="E67">
        <v>2</v>
      </c>
      <c r="F67" t="s">
        <v>19</v>
      </c>
      <c r="G67" t="s">
        <v>20</v>
      </c>
      <c r="H67" t="s">
        <v>15</v>
      </c>
      <c r="I67">
        <v>2</v>
      </c>
      <c r="J67" t="s">
        <v>23</v>
      </c>
      <c r="K67" t="s">
        <v>24</v>
      </c>
      <c r="L67">
        <v>68</v>
      </c>
      <c r="M67" t="str">
        <f t="shared" ref="M67:M130" si="1">IF(L67&gt;54, "Old", IF(L67&gt;=31, "Middle Age", IF(L67 &lt; 31, "Adolescent", "Invalid")))</f>
        <v>Old</v>
      </c>
      <c r="N67" t="s">
        <v>18</v>
      </c>
    </row>
    <row r="68" spans="1:14" x14ac:dyDescent="0.2">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4">
        <v>120000</v>
      </c>
      <c r="E72">
        <v>0</v>
      </c>
      <c r="F72" t="s">
        <v>29</v>
      </c>
      <c r="G72" t="s">
        <v>21</v>
      </c>
      <c r="H72" t="s">
        <v>15</v>
      </c>
      <c r="I72">
        <v>4</v>
      </c>
      <c r="J72" t="s">
        <v>49</v>
      </c>
      <c r="K72" t="s">
        <v>24</v>
      </c>
      <c r="L72">
        <v>36</v>
      </c>
      <c r="M72" t="str">
        <f t="shared" si="1"/>
        <v>Middle Age</v>
      </c>
      <c r="N72" t="s">
        <v>15</v>
      </c>
    </row>
    <row r="73" spans="1:14" x14ac:dyDescent="0.2">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4">
        <v>80000</v>
      </c>
      <c r="E79">
        <v>0</v>
      </c>
      <c r="F79" t="s">
        <v>13</v>
      </c>
      <c r="G79" t="s">
        <v>21</v>
      </c>
      <c r="H79" t="s">
        <v>15</v>
      </c>
      <c r="I79">
        <v>2</v>
      </c>
      <c r="J79" t="s">
        <v>49</v>
      </c>
      <c r="K79" t="s">
        <v>24</v>
      </c>
      <c r="L79">
        <v>29</v>
      </c>
      <c r="M79" t="str">
        <f t="shared" si="1"/>
        <v>Adolescent</v>
      </c>
      <c r="N79" t="s">
        <v>15</v>
      </c>
    </row>
    <row r="80" spans="1:14" x14ac:dyDescent="0.2">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4">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4">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4">
        <v>90000</v>
      </c>
      <c r="E97">
        <v>5</v>
      </c>
      <c r="F97" t="s">
        <v>19</v>
      </c>
      <c r="G97" t="s">
        <v>21</v>
      </c>
      <c r="H97" t="s">
        <v>15</v>
      </c>
      <c r="I97">
        <v>2</v>
      </c>
      <c r="J97" t="s">
        <v>49</v>
      </c>
      <c r="K97" t="s">
        <v>17</v>
      </c>
      <c r="L97">
        <v>62</v>
      </c>
      <c r="M97" t="str">
        <f t="shared" si="1"/>
        <v>Old</v>
      </c>
      <c r="N97" t="s">
        <v>18</v>
      </c>
    </row>
    <row r="98" spans="1:14" x14ac:dyDescent="0.2">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4">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4">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39</v>
      </c>
      <c r="D125" s="4">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4">
        <v>10000</v>
      </c>
      <c r="E131">
        <v>3</v>
      </c>
      <c r="F131" t="s">
        <v>27</v>
      </c>
      <c r="G131" t="s">
        <v>25</v>
      </c>
      <c r="H131" t="s">
        <v>15</v>
      </c>
      <c r="I131">
        <v>1</v>
      </c>
      <c r="J131" t="s">
        <v>16</v>
      </c>
      <c r="K131" t="s">
        <v>17</v>
      </c>
      <c r="L131">
        <v>39</v>
      </c>
      <c r="M131" t="str">
        <f t="shared" ref="M131:M194" si="2">IF(L131&gt;54, "Old", IF(L131&gt;=31, "Middle Age", IF(L131 &lt; 31, "Adolescent", "Invalid")))</f>
        <v>Middle Age</v>
      </c>
      <c r="N131" t="s">
        <v>15</v>
      </c>
    </row>
    <row r="132" spans="1:14" x14ac:dyDescent="0.2">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4">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4">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4">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4">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4">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4">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4">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4">
        <v>160000</v>
      </c>
      <c r="E180">
        <v>4</v>
      </c>
      <c r="F180" t="s">
        <v>19</v>
      </c>
      <c r="G180" t="s">
        <v>21</v>
      </c>
      <c r="H180" t="s">
        <v>18</v>
      </c>
      <c r="I180">
        <v>2</v>
      </c>
      <c r="J180" t="s">
        <v>49</v>
      </c>
      <c r="K180" t="s">
        <v>17</v>
      </c>
      <c r="L180">
        <v>55</v>
      </c>
      <c r="M180" t="str">
        <f t="shared" si="2"/>
        <v>Old</v>
      </c>
      <c r="N180" t="s">
        <v>15</v>
      </c>
    </row>
    <row r="181" spans="1:14" x14ac:dyDescent="0.2">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4">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4">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4">
        <v>130000</v>
      </c>
      <c r="E186">
        <v>4</v>
      </c>
      <c r="F186" t="s">
        <v>27</v>
      </c>
      <c r="G186" t="s">
        <v>28</v>
      </c>
      <c r="H186" t="s">
        <v>18</v>
      </c>
      <c r="I186">
        <v>4</v>
      </c>
      <c r="J186" t="s">
        <v>49</v>
      </c>
      <c r="K186" t="s">
        <v>17</v>
      </c>
      <c r="L186">
        <v>58</v>
      </c>
      <c r="M186" t="str">
        <f t="shared" si="2"/>
        <v>Old</v>
      </c>
      <c r="N186" t="s">
        <v>18</v>
      </c>
    </row>
    <row r="187" spans="1:14" x14ac:dyDescent="0.2">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4">
        <v>80000</v>
      </c>
      <c r="E189">
        <v>5</v>
      </c>
      <c r="F189" t="s">
        <v>19</v>
      </c>
      <c r="G189" t="s">
        <v>21</v>
      </c>
      <c r="H189" t="s">
        <v>18</v>
      </c>
      <c r="I189">
        <v>2</v>
      </c>
      <c r="J189" t="s">
        <v>49</v>
      </c>
      <c r="K189" t="s">
        <v>17</v>
      </c>
      <c r="L189">
        <v>59</v>
      </c>
      <c r="M189" t="str">
        <f t="shared" si="2"/>
        <v>Old</v>
      </c>
      <c r="N189" t="s">
        <v>18</v>
      </c>
    </row>
    <row r="190" spans="1:14" x14ac:dyDescent="0.2">
      <c r="A190">
        <v>20606</v>
      </c>
      <c r="B190" t="s">
        <v>36</v>
      </c>
      <c r="C190" t="s">
        <v>39</v>
      </c>
      <c r="D190" s="4">
        <v>70000</v>
      </c>
      <c r="E190">
        <v>0</v>
      </c>
      <c r="F190" t="s">
        <v>13</v>
      </c>
      <c r="G190" t="s">
        <v>21</v>
      </c>
      <c r="H190" t="s">
        <v>15</v>
      </c>
      <c r="I190">
        <v>4</v>
      </c>
      <c r="J190" t="s">
        <v>49</v>
      </c>
      <c r="K190" t="s">
        <v>24</v>
      </c>
      <c r="L190">
        <v>32</v>
      </c>
      <c r="M190" t="str">
        <f t="shared" si="2"/>
        <v>Middle Age</v>
      </c>
      <c r="N190" t="s">
        <v>15</v>
      </c>
    </row>
    <row r="191" spans="1:14" x14ac:dyDescent="0.2">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4">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4">
        <v>80000</v>
      </c>
      <c r="E194">
        <v>5</v>
      </c>
      <c r="F194" t="s">
        <v>13</v>
      </c>
      <c r="G194" t="s">
        <v>28</v>
      </c>
      <c r="H194" t="s">
        <v>15</v>
      </c>
      <c r="I194">
        <v>2</v>
      </c>
      <c r="J194" t="s">
        <v>49</v>
      </c>
      <c r="K194" t="s">
        <v>17</v>
      </c>
      <c r="L194">
        <v>62</v>
      </c>
      <c r="M194" t="str">
        <f t="shared" si="2"/>
        <v>Old</v>
      </c>
      <c r="N194" t="s">
        <v>18</v>
      </c>
    </row>
    <row r="195" spans="1:14" x14ac:dyDescent="0.2">
      <c r="A195">
        <v>26032</v>
      </c>
      <c r="B195" t="s">
        <v>36</v>
      </c>
      <c r="C195" t="s">
        <v>39</v>
      </c>
      <c r="D195" s="4">
        <v>70000</v>
      </c>
      <c r="E195">
        <v>5</v>
      </c>
      <c r="F195" t="s">
        <v>13</v>
      </c>
      <c r="G195" t="s">
        <v>21</v>
      </c>
      <c r="H195" t="s">
        <v>15</v>
      </c>
      <c r="I195">
        <v>4</v>
      </c>
      <c r="J195" t="s">
        <v>49</v>
      </c>
      <c r="K195" t="s">
        <v>24</v>
      </c>
      <c r="L195">
        <v>41</v>
      </c>
      <c r="M195" t="str">
        <f t="shared" ref="M195:M258" si="3">IF(L195&gt;54, "Old", IF(L195&gt;=31, "Middle Age", IF(L195 &lt; 31, "Adolescent", "Invalid")))</f>
        <v>Middle Age</v>
      </c>
      <c r="N195" t="s">
        <v>18</v>
      </c>
    </row>
    <row r="196" spans="1:14" x14ac:dyDescent="0.2">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4">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4">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4">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4">
        <v>70000</v>
      </c>
      <c r="E215">
        <v>0</v>
      </c>
      <c r="F215" t="s">
        <v>13</v>
      </c>
      <c r="G215" t="s">
        <v>21</v>
      </c>
      <c r="H215" t="s">
        <v>18</v>
      </c>
      <c r="I215">
        <v>4</v>
      </c>
      <c r="J215" t="s">
        <v>49</v>
      </c>
      <c r="K215" t="s">
        <v>24</v>
      </c>
      <c r="L215">
        <v>31</v>
      </c>
      <c r="M215" t="str">
        <f t="shared" si="3"/>
        <v>Middle Age</v>
      </c>
      <c r="N215" t="s">
        <v>15</v>
      </c>
    </row>
    <row r="216" spans="1:14" x14ac:dyDescent="0.2">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4">
        <v>70000</v>
      </c>
      <c r="E225">
        <v>5</v>
      </c>
      <c r="F225" t="s">
        <v>13</v>
      </c>
      <c r="G225" t="s">
        <v>21</v>
      </c>
      <c r="H225" t="s">
        <v>15</v>
      </c>
      <c r="I225">
        <v>4</v>
      </c>
      <c r="J225" t="s">
        <v>49</v>
      </c>
      <c r="K225" t="s">
        <v>24</v>
      </c>
      <c r="L225">
        <v>39</v>
      </c>
      <c r="M225" t="str">
        <f t="shared" si="3"/>
        <v>Middle Age</v>
      </c>
      <c r="N225" t="s">
        <v>18</v>
      </c>
    </row>
    <row r="226" spans="1:14" x14ac:dyDescent="0.2">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4">
        <v>80000</v>
      </c>
      <c r="E231">
        <v>5</v>
      </c>
      <c r="F231" t="s">
        <v>27</v>
      </c>
      <c r="G231" t="s">
        <v>28</v>
      </c>
      <c r="H231" t="s">
        <v>15</v>
      </c>
      <c r="I231">
        <v>3</v>
      </c>
      <c r="J231" t="s">
        <v>49</v>
      </c>
      <c r="K231" t="s">
        <v>17</v>
      </c>
      <c r="L231">
        <v>57</v>
      </c>
      <c r="M231" t="str">
        <f t="shared" si="3"/>
        <v>Old</v>
      </c>
      <c r="N231" t="s">
        <v>18</v>
      </c>
    </row>
    <row r="232" spans="1:14" x14ac:dyDescent="0.2">
      <c r="A232">
        <v>22830</v>
      </c>
      <c r="B232" t="s">
        <v>36</v>
      </c>
      <c r="C232" t="s">
        <v>38</v>
      </c>
      <c r="D232" s="4">
        <v>120000</v>
      </c>
      <c r="E232">
        <v>4</v>
      </c>
      <c r="F232" t="s">
        <v>19</v>
      </c>
      <c r="G232" t="s">
        <v>28</v>
      </c>
      <c r="H232" t="s">
        <v>15</v>
      </c>
      <c r="I232">
        <v>3</v>
      </c>
      <c r="J232" t="s">
        <v>49</v>
      </c>
      <c r="K232" t="s">
        <v>17</v>
      </c>
      <c r="L232">
        <v>56</v>
      </c>
      <c r="M232" t="str">
        <f t="shared" si="3"/>
        <v>Old</v>
      </c>
      <c r="N232" t="s">
        <v>18</v>
      </c>
    </row>
    <row r="233" spans="1:14" x14ac:dyDescent="0.2">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4">
        <v>90000</v>
      </c>
      <c r="E236">
        <v>0</v>
      </c>
      <c r="F236" t="s">
        <v>13</v>
      </c>
      <c r="G236" t="s">
        <v>21</v>
      </c>
      <c r="H236" t="s">
        <v>18</v>
      </c>
      <c r="I236">
        <v>4</v>
      </c>
      <c r="J236" t="s">
        <v>49</v>
      </c>
      <c r="K236" t="s">
        <v>24</v>
      </c>
      <c r="L236">
        <v>35</v>
      </c>
      <c r="M236" t="str">
        <f t="shared" si="3"/>
        <v>Middle Age</v>
      </c>
      <c r="N236" t="s">
        <v>15</v>
      </c>
    </row>
    <row r="237" spans="1:14" x14ac:dyDescent="0.2">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4">
        <v>120000</v>
      </c>
      <c r="E246">
        <v>3</v>
      </c>
      <c r="F246" t="s">
        <v>13</v>
      </c>
      <c r="G246" t="s">
        <v>28</v>
      </c>
      <c r="H246" t="s">
        <v>18</v>
      </c>
      <c r="I246">
        <v>2</v>
      </c>
      <c r="J246" t="s">
        <v>49</v>
      </c>
      <c r="K246" t="s">
        <v>17</v>
      </c>
      <c r="L246">
        <v>52</v>
      </c>
      <c r="M246" t="str">
        <f t="shared" si="3"/>
        <v>Middle Age</v>
      </c>
      <c r="N246" t="s">
        <v>15</v>
      </c>
    </row>
    <row r="247" spans="1:14" x14ac:dyDescent="0.2">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4">
        <v>100000</v>
      </c>
      <c r="E249">
        <v>0</v>
      </c>
      <c r="F249" t="s">
        <v>27</v>
      </c>
      <c r="G249" t="s">
        <v>28</v>
      </c>
      <c r="H249" t="s">
        <v>15</v>
      </c>
      <c r="I249">
        <v>4</v>
      </c>
      <c r="J249" t="s">
        <v>49</v>
      </c>
      <c r="K249" t="s">
        <v>24</v>
      </c>
      <c r="L249">
        <v>34</v>
      </c>
      <c r="M249" t="str">
        <f t="shared" si="3"/>
        <v>Middle Age</v>
      </c>
      <c r="N249" t="s">
        <v>15</v>
      </c>
    </row>
    <row r="250" spans="1:14" x14ac:dyDescent="0.2">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4">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4">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4">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38</v>
      </c>
      <c r="D256" s="4">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4">
        <v>50000</v>
      </c>
      <c r="E259">
        <v>0</v>
      </c>
      <c r="F259" t="s">
        <v>31</v>
      </c>
      <c r="G259" t="s">
        <v>14</v>
      </c>
      <c r="H259" t="s">
        <v>15</v>
      </c>
      <c r="I259">
        <v>0</v>
      </c>
      <c r="J259" t="s">
        <v>16</v>
      </c>
      <c r="K259" t="s">
        <v>17</v>
      </c>
      <c r="L259">
        <v>36</v>
      </c>
      <c r="M259" t="str">
        <f t="shared" ref="M259:M322" si="4">IF(L259&gt;54, "Old", IF(L259&gt;=31, "Middle Age", IF(L259 &lt; 31, "Adolescent", "Invalid")))</f>
        <v>Middle Age</v>
      </c>
      <c r="N259" t="s">
        <v>15</v>
      </c>
    </row>
    <row r="260" spans="1:14" x14ac:dyDescent="0.2">
      <c r="A260">
        <v>14193</v>
      </c>
      <c r="B260" t="s">
        <v>37</v>
      </c>
      <c r="C260" t="s">
        <v>39</v>
      </c>
      <c r="D260" s="4">
        <v>100000</v>
      </c>
      <c r="E260">
        <v>3</v>
      </c>
      <c r="F260" t="s">
        <v>19</v>
      </c>
      <c r="G260" t="s">
        <v>28</v>
      </c>
      <c r="H260" t="s">
        <v>15</v>
      </c>
      <c r="I260">
        <v>4</v>
      </c>
      <c r="J260" t="s">
        <v>49</v>
      </c>
      <c r="K260" t="s">
        <v>17</v>
      </c>
      <c r="L260">
        <v>56</v>
      </c>
      <c r="M260" t="str">
        <f t="shared" si="4"/>
        <v>Old</v>
      </c>
      <c r="N260" t="s">
        <v>18</v>
      </c>
    </row>
    <row r="261" spans="1:14" x14ac:dyDescent="0.2">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4">
        <v>70000</v>
      </c>
      <c r="E265">
        <v>5</v>
      </c>
      <c r="F265" t="s">
        <v>13</v>
      </c>
      <c r="G265" t="s">
        <v>21</v>
      </c>
      <c r="H265" t="s">
        <v>15</v>
      </c>
      <c r="I265">
        <v>3</v>
      </c>
      <c r="J265" t="s">
        <v>49</v>
      </c>
      <c r="K265" t="s">
        <v>24</v>
      </c>
      <c r="L265">
        <v>39</v>
      </c>
      <c r="M265" t="str">
        <f t="shared" si="4"/>
        <v>Middle Age</v>
      </c>
      <c r="N265" t="s">
        <v>18</v>
      </c>
    </row>
    <row r="266" spans="1:14" x14ac:dyDescent="0.2">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4">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4">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4">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4">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4">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4">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4">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4">
        <v>130000</v>
      </c>
      <c r="E320">
        <v>4</v>
      </c>
      <c r="F320" t="s">
        <v>19</v>
      </c>
      <c r="G320" t="s">
        <v>21</v>
      </c>
      <c r="H320" t="s">
        <v>18</v>
      </c>
      <c r="I320">
        <v>3</v>
      </c>
      <c r="J320" t="s">
        <v>49</v>
      </c>
      <c r="K320" t="s">
        <v>17</v>
      </c>
      <c r="L320">
        <v>54</v>
      </c>
      <c r="M320" t="str">
        <f t="shared" si="4"/>
        <v>Middle Age</v>
      </c>
      <c r="N320" t="s">
        <v>18</v>
      </c>
    </row>
    <row r="321" spans="1:14" x14ac:dyDescent="0.2">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4">
        <v>160000</v>
      </c>
      <c r="E323">
        <v>0</v>
      </c>
      <c r="F323" t="s">
        <v>31</v>
      </c>
      <c r="G323" t="s">
        <v>28</v>
      </c>
      <c r="H323" t="s">
        <v>18</v>
      </c>
      <c r="I323">
        <v>3</v>
      </c>
      <c r="J323" t="s">
        <v>16</v>
      </c>
      <c r="K323" t="s">
        <v>24</v>
      </c>
      <c r="L323">
        <v>47</v>
      </c>
      <c r="M323" t="str">
        <f t="shared" ref="M323:M386" si="5">IF(L323&gt;54, "Old", IF(L323&gt;=31, "Middle Age", IF(L323 &lt; 31, "Adolescent", "Invalid")))</f>
        <v>Middle Age</v>
      </c>
      <c r="N323" t="s">
        <v>15</v>
      </c>
    </row>
    <row r="324" spans="1:14" x14ac:dyDescent="0.2">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4">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39</v>
      </c>
      <c r="D332" s="4">
        <v>80000</v>
      </c>
      <c r="E332">
        <v>0</v>
      </c>
      <c r="F332" t="s">
        <v>13</v>
      </c>
      <c r="G332" t="s">
        <v>21</v>
      </c>
      <c r="H332" t="s">
        <v>15</v>
      </c>
      <c r="I332">
        <v>3</v>
      </c>
      <c r="J332" t="s">
        <v>49</v>
      </c>
      <c r="K332" t="s">
        <v>24</v>
      </c>
      <c r="L332">
        <v>32</v>
      </c>
      <c r="M332" t="str">
        <f t="shared" si="5"/>
        <v>Middle Age</v>
      </c>
      <c r="N332" t="s">
        <v>18</v>
      </c>
    </row>
    <row r="333" spans="1:14" x14ac:dyDescent="0.2">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4">
        <v>80000</v>
      </c>
      <c r="E357">
        <v>0</v>
      </c>
      <c r="F357" t="s">
        <v>13</v>
      </c>
      <c r="G357" t="s">
        <v>21</v>
      </c>
      <c r="H357" t="s">
        <v>15</v>
      </c>
      <c r="I357">
        <v>3</v>
      </c>
      <c r="J357" t="s">
        <v>49</v>
      </c>
      <c r="K357" t="s">
        <v>24</v>
      </c>
      <c r="L357">
        <v>32</v>
      </c>
      <c r="M357" t="str">
        <f t="shared" si="5"/>
        <v>Middle Age</v>
      </c>
      <c r="N357" t="s">
        <v>18</v>
      </c>
    </row>
    <row r="358" spans="1:14" x14ac:dyDescent="0.2">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4">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4">
        <v>80000</v>
      </c>
      <c r="E361">
        <v>0</v>
      </c>
      <c r="F361" t="s">
        <v>13</v>
      </c>
      <c r="G361" t="s">
        <v>21</v>
      </c>
      <c r="H361" t="s">
        <v>15</v>
      </c>
      <c r="I361">
        <v>3</v>
      </c>
      <c r="J361" t="s">
        <v>49</v>
      </c>
      <c r="K361" t="s">
        <v>24</v>
      </c>
      <c r="L361">
        <v>30</v>
      </c>
      <c r="M361" t="str">
        <f t="shared" si="5"/>
        <v>Adolescent</v>
      </c>
      <c r="N361" t="s">
        <v>18</v>
      </c>
    </row>
    <row r="362" spans="1:14" x14ac:dyDescent="0.2">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4">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4">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4">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4">
        <v>70000</v>
      </c>
      <c r="E382">
        <v>0</v>
      </c>
      <c r="F382" t="s">
        <v>13</v>
      </c>
      <c r="G382" t="s">
        <v>21</v>
      </c>
      <c r="H382" t="s">
        <v>18</v>
      </c>
      <c r="I382">
        <v>3</v>
      </c>
      <c r="J382" t="s">
        <v>49</v>
      </c>
      <c r="K382" t="s">
        <v>24</v>
      </c>
      <c r="L382">
        <v>30</v>
      </c>
      <c r="M382" t="str">
        <f t="shared" si="5"/>
        <v>Adolescent</v>
      </c>
      <c r="N382" t="s">
        <v>15</v>
      </c>
    </row>
    <row r="383" spans="1:14" x14ac:dyDescent="0.2">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4">
        <v>80000</v>
      </c>
      <c r="E384">
        <v>4</v>
      </c>
      <c r="F384" t="s">
        <v>19</v>
      </c>
      <c r="G384" t="s">
        <v>21</v>
      </c>
      <c r="H384" t="s">
        <v>15</v>
      </c>
      <c r="I384">
        <v>2</v>
      </c>
      <c r="J384" t="s">
        <v>49</v>
      </c>
      <c r="K384" t="s">
        <v>17</v>
      </c>
      <c r="L384">
        <v>53</v>
      </c>
      <c r="M384" t="str">
        <f t="shared" si="5"/>
        <v>Middle Age</v>
      </c>
      <c r="N384" t="s">
        <v>18</v>
      </c>
    </row>
    <row r="385" spans="1:14" x14ac:dyDescent="0.2">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4">
        <v>30000</v>
      </c>
      <c r="E387">
        <v>3</v>
      </c>
      <c r="F387" t="s">
        <v>19</v>
      </c>
      <c r="G387" t="s">
        <v>20</v>
      </c>
      <c r="H387" t="s">
        <v>15</v>
      </c>
      <c r="I387">
        <v>0</v>
      </c>
      <c r="J387" t="s">
        <v>16</v>
      </c>
      <c r="K387" t="s">
        <v>17</v>
      </c>
      <c r="L387">
        <v>43</v>
      </c>
      <c r="M387" t="str">
        <f t="shared" ref="M387:M450" si="6">IF(L387&gt;54, "Old", IF(L387&gt;=31, "Middle Age", IF(L387 &lt; 31, "Adolescent", "Invalid")))</f>
        <v>Middle Age</v>
      </c>
      <c r="N387" t="s">
        <v>18</v>
      </c>
    </row>
    <row r="388" spans="1:14" x14ac:dyDescent="0.2">
      <c r="A388">
        <v>28957</v>
      </c>
      <c r="B388" t="s">
        <v>37</v>
      </c>
      <c r="C388" t="s">
        <v>39</v>
      </c>
      <c r="D388" s="4">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4">
        <v>110000</v>
      </c>
      <c r="E402">
        <v>3</v>
      </c>
      <c r="F402" t="s">
        <v>13</v>
      </c>
      <c r="G402" t="s">
        <v>28</v>
      </c>
      <c r="H402" t="s">
        <v>15</v>
      </c>
      <c r="I402">
        <v>4</v>
      </c>
      <c r="J402" t="s">
        <v>49</v>
      </c>
      <c r="K402" t="s">
        <v>17</v>
      </c>
      <c r="L402">
        <v>53</v>
      </c>
      <c r="M402" t="str">
        <f t="shared" si="6"/>
        <v>Middle Age</v>
      </c>
      <c r="N402" t="s">
        <v>18</v>
      </c>
    </row>
    <row r="403" spans="1:14" x14ac:dyDescent="0.2">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4">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4">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4">
        <v>100000</v>
      </c>
      <c r="E422">
        <v>2</v>
      </c>
      <c r="F422" t="s">
        <v>13</v>
      </c>
      <c r="G422" t="s">
        <v>28</v>
      </c>
      <c r="H422" t="s">
        <v>15</v>
      </c>
      <c r="I422">
        <v>4</v>
      </c>
      <c r="J422" t="s">
        <v>49</v>
      </c>
      <c r="K422" t="s">
        <v>17</v>
      </c>
      <c r="L422">
        <v>59</v>
      </c>
      <c r="M422" t="str">
        <f t="shared" si="6"/>
        <v>Old</v>
      </c>
      <c r="N422" t="s">
        <v>18</v>
      </c>
    </row>
    <row r="423" spans="1:14" x14ac:dyDescent="0.2">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4">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4">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4">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4">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4">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4">
        <v>90000</v>
      </c>
      <c r="E442">
        <v>0</v>
      </c>
      <c r="F442" t="s">
        <v>13</v>
      </c>
      <c r="G442" t="s">
        <v>21</v>
      </c>
      <c r="H442" t="s">
        <v>18</v>
      </c>
      <c r="I442">
        <v>3</v>
      </c>
      <c r="J442" t="s">
        <v>49</v>
      </c>
      <c r="K442" t="s">
        <v>24</v>
      </c>
      <c r="L442">
        <v>34</v>
      </c>
      <c r="M442" t="str">
        <f t="shared" si="6"/>
        <v>Middle Age</v>
      </c>
      <c r="N442" t="s">
        <v>15</v>
      </c>
    </row>
    <row r="443" spans="1:14" x14ac:dyDescent="0.2">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4">
        <v>130000</v>
      </c>
      <c r="E448">
        <v>0</v>
      </c>
      <c r="F448" t="s">
        <v>31</v>
      </c>
      <c r="G448" t="s">
        <v>28</v>
      </c>
      <c r="H448" t="s">
        <v>15</v>
      </c>
      <c r="I448">
        <v>1</v>
      </c>
      <c r="J448" t="s">
        <v>49</v>
      </c>
      <c r="K448" t="s">
        <v>24</v>
      </c>
      <c r="L448">
        <v>48</v>
      </c>
      <c r="M448" t="str">
        <f t="shared" si="6"/>
        <v>Middle Age</v>
      </c>
      <c r="N448" t="s">
        <v>18</v>
      </c>
    </row>
    <row r="449" spans="1:14" x14ac:dyDescent="0.2">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4">
        <v>40000</v>
      </c>
      <c r="E451">
        <v>1</v>
      </c>
      <c r="F451" t="s">
        <v>13</v>
      </c>
      <c r="G451" t="s">
        <v>14</v>
      </c>
      <c r="H451" t="s">
        <v>15</v>
      </c>
      <c r="I451">
        <v>0</v>
      </c>
      <c r="J451" t="s">
        <v>16</v>
      </c>
      <c r="K451" t="s">
        <v>17</v>
      </c>
      <c r="L451">
        <v>42</v>
      </c>
      <c r="M451" t="str">
        <f t="shared" ref="M451:M514" si="7">IF(L451&gt;54, "Old", IF(L451&gt;=31, "Middle Age", IF(L451 &lt; 31, "Adolescent", "Invalid")))</f>
        <v>Middle Age</v>
      </c>
      <c r="N451" t="s">
        <v>18</v>
      </c>
    </row>
    <row r="452" spans="1:14" x14ac:dyDescent="0.2">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4">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39</v>
      </c>
      <c r="D461" s="4">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4">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4">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4">
        <v>90000</v>
      </c>
      <c r="E488">
        <v>4</v>
      </c>
      <c r="F488" t="s">
        <v>29</v>
      </c>
      <c r="G488" t="s">
        <v>14</v>
      </c>
      <c r="H488" t="s">
        <v>15</v>
      </c>
      <c r="I488">
        <v>4</v>
      </c>
      <c r="J488" t="s">
        <v>49</v>
      </c>
      <c r="K488" t="s">
        <v>17</v>
      </c>
      <c r="L488">
        <v>58</v>
      </c>
      <c r="M488" t="str">
        <f t="shared" si="7"/>
        <v>Old</v>
      </c>
      <c r="N488" t="s">
        <v>18</v>
      </c>
    </row>
    <row r="489" spans="1:14" x14ac:dyDescent="0.2">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4">
        <v>70000</v>
      </c>
      <c r="E495">
        <v>5</v>
      </c>
      <c r="F495" t="s">
        <v>13</v>
      </c>
      <c r="G495" t="s">
        <v>28</v>
      </c>
      <c r="H495" t="s">
        <v>15</v>
      </c>
      <c r="I495">
        <v>3</v>
      </c>
      <c r="J495" t="s">
        <v>49</v>
      </c>
      <c r="K495" t="s">
        <v>32</v>
      </c>
      <c r="L495">
        <v>60</v>
      </c>
      <c r="M495" t="str">
        <f t="shared" si="7"/>
        <v>Old</v>
      </c>
      <c r="N495" t="s">
        <v>15</v>
      </c>
    </row>
    <row r="496" spans="1:14" x14ac:dyDescent="0.2">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4">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4">
        <v>60000</v>
      </c>
      <c r="E515">
        <v>4</v>
      </c>
      <c r="F515" t="s">
        <v>31</v>
      </c>
      <c r="G515" t="s">
        <v>28</v>
      </c>
      <c r="H515" t="s">
        <v>15</v>
      </c>
      <c r="I515">
        <v>2</v>
      </c>
      <c r="J515" t="s">
        <v>49</v>
      </c>
      <c r="K515" t="s">
        <v>32</v>
      </c>
      <c r="L515">
        <v>61</v>
      </c>
      <c r="M515" t="str">
        <f t="shared" ref="M515:M578" si="8">IF(L515&gt;54, "Old", IF(L515&gt;=31, "Middle Age", IF(L515 &lt; 31, "Adolescent", "Invalid")))</f>
        <v>Old</v>
      </c>
      <c r="N515" t="s">
        <v>15</v>
      </c>
    </row>
    <row r="516" spans="1:14" x14ac:dyDescent="0.2">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4">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4">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4">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4">
        <v>60000</v>
      </c>
      <c r="E527">
        <v>5</v>
      </c>
      <c r="F527" t="s">
        <v>13</v>
      </c>
      <c r="G527" t="s">
        <v>28</v>
      </c>
      <c r="H527" t="s">
        <v>15</v>
      </c>
      <c r="I527">
        <v>3</v>
      </c>
      <c r="J527" t="s">
        <v>49</v>
      </c>
      <c r="K527" t="s">
        <v>32</v>
      </c>
      <c r="L527">
        <v>59</v>
      </c>
      <c r="M527" t="str">
        <f t="shared" si="8"/>
        <v>Old</v>
      </c>
      <c r="N527" t="s">
        <v>15</v>
      </c>
    </row>
    <row r="528" spans="1:14" x14ac:dyDescent="0.2">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4">
        <v>60000</v>
      </c>
      <c r="E531">
        <v>2</v>
      </c>
      <c r="F531" t="s">
        <v>19</v>
      </c>
      <c r="G531" t="s">
        <v>21</v>
      </c>
      <c r="H531" t="s">
        <v>15</v>
      </c>
      <c r="I531">
        <v>1</v>
      </c>
      <c r="J531" t="s">
        <v>49</v>
      </c>
      <c r="K531" t="s">
        <v>32</v>
      </c>
      <c r="L531">
        <v>57</v>
      </c>
      <c r="M531" t="str">
        <f t="shared" si="8"/>
        <v>Old</v>
      </c>
      <c r="N531" t="s">
        <v>15</v>
      </c>
    </row>
    <row r="532" spans="1:14" x14ac:dyDescent="0.2">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4">
        <v>60000</v>
      </c>
      <c r="E535">
        <v>3</v>
      </c>
      <c r="F535" t="s">
        <v>13</v>
      </c>
      <c r="G535" t="s">
        <v>28</v>
      </c>
      <c r="H535" t="s">
        <v>15</v>
      </c>
      <c r="I535">
        <v>2</v>
      </c>
      <c r="J535" t="s">
        <v>49</v>
      </c>
      <c r="K535" t="s">
        <v>32</v>
      </c>
      <c r="L535">
        <v>66</v>
      </c>
      <c r="M535" t="str">
        <f t="shared" si="8"/>
        <v>Old</v>
      </c>
      <c r="N535" t="s">
        <v>18</v>
      </c>
    </row>
    <row r="536" spans="1:14" x14ac:dyDescent="0.2">
      <c r="A536">
        <v>24637</v>
      </c>
      <c r="B536" t="s">
        <v>36</v>
      </c>
      <c r="C536" t="s">
        <v>38</v>
      </c>
      <c r="D536" s="4">
        <v>40000</v>
      </c>
      <c r="E536">
        <v>4</v>
      </c>
      <c r="F536" t="s">
        <v>27</v>
      </c>
      <c r="G536" t="s">
        <v>21</v>
      </c>
      <c r="H536" t="s">
        <v>15</v>
      </c>
      <c r="I536">
        <v>2</v>
      </c>
      <c r="J536" t="s">
        <v>49</v>
      </c>
      <c r="K536" t="s">
        <v>32</v>
      </c>
      <c r="L536">
        <v>64</v>
      </c>
      <c r="M536" t="str">
        <f t="shared" si="8"/>
        <v>Old</v>
      </c>
      <c r="N536" t="s">
        <v>18</v>
      </c>
    </row>
    <row r="537" spans="1:14" x14ac:dyDescent="0.2">
      <c r="A537">
        <v>23893</v>
      </c>
      <c r="B537" t="s">
        <v>36</v>
      </c>
      <c r="C537" t="s">
        <v>38</v>
      </c>
      <c r="D537" s="4">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4">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4">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38</v>
      </c>
      <c r="D554" s="4">
        <v>60000</v>
      </c>
      <c r="E554">
        <v>3</v>
      </c>
      <c r="F554" t="s">
        <v>27</v>
      </c>
      <c r="G554" t="s">
        <v>21</v>
      </c>
      <c r="H554" t="s">
        <v>15</v>
      </c>
      <c r="I554">
        <v>2</v>
      </c>
      <c r="J554" t="s">
        <v>49</v>
      </c>
      <c r="K554" t="s">
        <v>32</v>
      </c>
      <c r="L554">
        <v>54</v>
      </c>
      <c r="M554" t="str">
        <f t="shared" si="8"/>
        <v>Middle Age</v>
      </c>
      <c r="N554" t="s">
        <v>15</v>
      </c>
    </row>
    <row r="555" spans="1:14" x14ac:dyDescent="0.2">
      <c r="A555">
        <v>17533</v>
      </c>
      <c r="B555" t="s">
        <v>36</v>
      </c>
      <c r="C555" t="s">
        <v>38</v>
      </c>
      <c r="D555" s="4">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4">
        <v>60000</v>
      </c>
      <c r="E561">
        <v>2</v>
      </c>
      <c r="F561" t="s">
        <v>13</v>
      </c>
      <c r="G561" t="s">
        <v>28</v>
      </c>
      <c r="H561" t="s">
        <v>15</v>
      </c>
      <c r="I561">
        <v>0</v>
      </c>
      <c r="J561" t="s">
        <v>49</v>
      </c>
      <c r="K561" t="s">
        <v>32</v>
      </c>
      <c r="L561">
        <v>58</v>
      </c>
      <c r="M561" t="str">
        <f t="shared" si="8"/>
        <v>Old</v>
      </c>
      <c r="N561" t="s">
        <v>18</v>
      </c>
    </row>
    <row r="562" spans="1:14" x14ac:dyDescent="0.2">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4">
        <v>50000</v>
      </c>
      <c r="E571">
        <v>3</v>
      </c>
      <c r="F571" t="s">
        <v>31</v>
      </c>
      <c r="G571" t="s">
        <v>28</v>
      </c>
      <c r="H571" t="s">
        <v>15</v>
      </c>
      <c r="I571">
        <v>2</v>
      </c>
      <c r="J571" t="s">
        <v>49</v>
      </c>
      <c r="K571" t="s">
        <v>32</v>
      </c>
      <c r="L571">
        <v>69</v>
      </c>
      <c r="M571" t="str">
        <f t="shared" si="8"/>
        <v>Old</v>
      </c>
      <c r="N571" t="s">
        <v>18</v>
      </c>
    </row>
    <row r="572" spans="1:14" x14ac:dyDescent="0.2">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4">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4">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4">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4">
        <v>120000</v>
      </c>
      <c r="E579">
        <v>1</v>
      </c>
      <c r="F579" t="s">
        <v>13</v>
      </c>
      <c r="G579" t="s">
        <v>28</v>
      </c>
      <c r="H579" t="s">
        <v>15</v>
      </c>
      <c r="I579">
        <v>4</v>
      </c>
      <c r="J579" t="s">
        <v>16</v>
      </c>
      <c r="K579" t="s">
        <v>32</v>
      </c>
      <c r="L579">
        <v>38</v>
      </c>
      <c r="M579" t="str">
        <f t="shared" ref="M579:M642" si="9">IF(L579&gt;54, "Old", IF(L579&gt;=31, "Middle Age", IF(L579 &lt; 31, "Adolescent", "Invalid")))</f>
        <v>Middle Age</v>
      </c>
      <c r="N579" t="s">
        <v>18</v>
      </c>
    </row>
    <row r="580" spans="1:14" x14ac:dyDescent="0.2">
      <c r="A580">
        <v>15313</v>
      </c>
      <c r="B580" t="s">
        <v>36</v>
      </c>
      <c r="C580" t="s">
        <v>38</v>
      </c>
      <c r="D580" s="4">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4">
        <v>60000</v>
      </c>
      <c r="E582">
        <v>3</v>
      </c>
      <c r="F582" t="s">
        <v>31</v>
      </c>
      <c r="G582" t="s">
        <v>28</v>
      </c>
      <c r="H582" t="s">
        <v>15</v>
      </c>
      <c r="I582">
        <v>2</v>
      </c>
      <c r="J582" t="s">
        <v>49</v>
      </c>
      <c r="K582" t="s">
        <v>32</v>
      </c>
      <c r="L582">
        <v>69</v>
      </c>
      <c r="M582" t="str">
        <f t="shared" si="9"/>
        <v>Old</v>
      </c>
      <c r="N582" t="s">
        <v>18</v>
      </c>
    </row>
    <row r="583" spans="1:14" x14ac:dyDescent="0.2">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4">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4">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38</v>
      </c>
      <c r="D591" s="4">
        <v>60000</v>
      </c>
      <c r="E591">
        <v>2</v>
      </c>
      <c r="F591" t="s">
        <v>13</v>
      </c>
      <c r="G591" t="s">
        <v>28</v>
      </c>
      <c r="H591" t="s">
        <v>15</v>
      </c>
      <c r="I591">
        <v>0</v>
      </c>
      <c r="J591" t="s">
        <v>49</v>
      </c>
      <c r="K591" t="s">
        <v>32</v>
      </c>
      <c r="L591">
        <v>57</v>
      </c>
      <c r="M591" t="str">
        <f t="shared" si="9"/>
        <v>Old</v>
      </c>
      <c r="N591" t="s">
        <v>18</v>
      </c>
    </row>
    <row r="592" spans="1:14" x14ac:dyDescent="0.2">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4">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4">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4">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4">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4">
        <v>70000</v>
      </c>
      <c r="E609">
        <v>5</v>
      </c>
      <c r="F609" t="s">
        <v>31</v>
      </c>
      <c r="G609" t="s">
        <v>21</v>
      </c>
      <c r="H609" t="s">
        <v>15</v>
      </c>
      <c r="I609">
        <v>3</v>
      </c>
      <c r="J609" t="s">
        <v>49</v>
      </c>
      <c r="K609" t="s">
        <v>32</v>
      </c>
      <c r="L609">
        <v>46</v>
      </c>
      <c r="M609" t="str">
        <f t="shared" si="9"/>
        <v>Middle Age</v>
      </c>
      <c r="N609" t="s">
        <v>15</v>
      </c>
    </row>
    <row r="610" spans="1:14" x14ac:dyDescent="0.2">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4">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4">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4">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4">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4">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4">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4">
        <v>50000</v>
      </c>
      <c r="E643">
        <v>4</v>
      </c>
      <c r="F643" t="s">
        <v>13</v>
      </c>
      <c r="G643" t="s">
        <v>28</v>
      </c>
      <c r="H643" t="s">
        <v>15</v>
      </c>
      <c r="I643">
        <v>2</v>
      </c>
      <c r="J643" t="s">
        <v>49</v>
      </c>
      <c r="K643" t="s">
        <v>32</v>
      </c>
      <c r="L643">
        <v>64</v>
      </c>
      <c r="M643" t="str">
        <f t="shared" ref="M643:M706" si="10">IF(L643&gt;54, "Old", IF(L643&gt;=31, "Middle Age", IF(L643 &lt; 31, "Adolescent", "Invalid")))</f>
        <v>Old</v>
      </c>
      <c r="N643" t="s">
        <v>18</v>
      </c>
    </row>
    <row r="644" spans="1:14" x14ac:dyDescent="0.2">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4">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4">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4">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4">
        <v>60000</v>
      </c>
      <c r="E661">
        <v>4</v>
      </c>
      <c r="F661" t="s">
        <v>13</v>
      </c>
      <c r="G661" t="s">
        <v>28</v>
      </c>
      <c r="H661" t="s">
        <v>15</v>
      </c>
      <c r="I661">
        <v>2</v>
      </c>
      <c r="J661" t="s">
        <v>49</v>
      </c>
      <c r="K661" t="s">
        <v>32</v>
      </c>
      <c r="L661">
        <v>63</v>
      </c>
      <c r="M661" t="str">
        <f t="shared" si="10"/>
        <v>Old</v>
      </c>
      <c r="N661" t="s">
        <v>18</v>
      </c>
    </row>
    <row r="662" spans="1:14" x14ac:dyDescent="0.2">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4">
        <v>40000</v>
      </c>
      <c r="E669">
        <v>5</v>
      </c>
      <c r="F669" t="s">
        <v>27</v>
      </c>
      <c r="G669" t="s">
        <v>21</v>
      </c>
      <c r="H669" t="s">
        <v>18</v>
      </c>
      <c r="I669">
        <v>2</v>
      </c>
      <c r="J669" t="s">
        <v>49</v>
      </c>
      <c r="K669" t="s">
        <v>32</v>
      </c>
      <c r="L669">
        <v>61</v>
      </c>
      <c r="M669" t="str">
        <f t="shared" si="10"/>
        <v>Old</v>
      </c>
      <c r="N669" t="s">
        <v>18</v>
      </c>
    </row>
    <row r="670" spans="1:14" x14ac:dyDescent="0.2">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4">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4">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4">
        <v>60000</v>
      </c>
      <c r="E681">
        <v>4</v>
      </c>
      <c r="F681" t="s">
        <v>13</v>
      </c>
      <c r="G681" t="s">
        <v>28</v>
      </c>
      <c r="H681" t="s">
        <v>15</v>
      </c>
      <c r="I681">
        <v>2</v>
      </c>
      <c r="J681" t="s">
        <v>49</v>
      </c>
      <c r="K681" t="s">
        <v>32</v>
      </c>
      <c r="L681">
        <v>60</v>
      </c>
      <c r="M681" t="str">
        <f t="shared" si="10"/>
        <v>Old</v>
      </c>
      <c r="N681" t="s">
        <v>18</v>
      </c>
    </row>
    <row r="682" spans="1:14" x14ac:dyDescent="0.2">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4">
        <v>70000</v>
      </c>
      <c r="E707">
        <v>4</v>
      </c>
      <c r="F707" t="s">
        <v>13</v>
      </c>
      <c r="G707" t="s">
        <v>28</v>
      </c>
      <c r="H707" t="s">
        <v>15</v>
      </c>
      <c r="I707">
        <v>1</v>
      </c>
      <c r="J707" t="s">
        <v>49</v>
      </c>
      <c r="K707" t="s">
        <v>32</v>
      </c>
      <c r="L707">
        <v>59</v>
      </c>
      <c r="M707" t="str">
        <f t="shared" ref="M707:M770" si="11">IF(L707&gt;54, "Old", IF(L707&gt;=31, "Middle Age", IF(L707 &lt; 31, "Adolescent", "Invalid")))</f>
        <v>Old</v>
      </c>
      <c r="N707" t="s">
        <v>18</v>
      </c>
    </row>
    <row r="708" spans="1:14" x14ac:dyDescent="0.2">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4">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39</v>
      </c>
      <c r="D711" s="4">
        <v>70000</v>
      </c>
      <c r="E711">
        <v>2</v>
      </c>
      <c r="F711" t="s">
        <v>13</v>
      </c>
      <c r="G711" t="s">
        <v>28</v>
      </c>
      <c r="H711" t="s">
        <v>15</v>
      </c>
      <c r="I711">
        <v>1</v>
      </c>
      <c r="J711" t="s">
        <v>49</v>
      </c>
      <c r="K711" t="s">
        <v>32</v>
      </c>
      <c r="L711">
        <v>59</v>
      </c>
      <c r="M711" t="str">
        <f t="shared" si="11"/>
        <v>Old</v>
      </c>
      <c r="N711" t="s">
        <v>18</v>
      </c>
    </row>
    <row r="712" spans="1:14" x14ac:dyDescent="0.2">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4">
        <v>70000</v>
      </c>
      <c r="E713">
        <v>2</v>
      </c>
      <c r="F713" t="s">
        <v>19</v>
      </c>
      <c r="G713" t="s">
        <v>21</v>
      </c>
      <c r="H713" t="s">
        <v>15</v>
      </c>
      <c r="I713">
        <v>1</v>
      </c>
      <c r="J713" t="s">
        <v>49</v>
      </c>
      <c r="K713" t="s">
        <v>32</v>
      </c>
      <c r="L713">
        <v>58</v>
      </c>
      <c r="M713" t="str">
        <f t="shared" si="11"/>
        <v>Old</v>
      </c>
      <c r="N713" t="s">
        <v>18</v>
      </c>
    </row>
    <row r="714" spans="1:14" x14ac:dyDescent="0.2">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4">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4">
        <v>60000</v>
      </c>
      <c r="E741">
        <v>2</v>
      </c>
      <c r="F741" t="s">
        <v>19</v>
      </c>
      <c r="G741" t="s">
        <v>21</v>
      </c>
      <c r="H741" t="s">
        <v>15</v>
      </c>
      <c r="I741">
        <v>1</v>
      </c>
      <c r="J741" t="s">
        <v>49</v>
      </c>
      <c r="K741" t="s">
        <v>32</v>
      </c>
      <c r="L741">
        <v>55</v>
      </c>
      <c r="M741" t="str">
        <f t="shared" si="11"/>
        <v>Old</v>
      </c>
      <c r="N741" t="s">
        <v>18</v>
      </c>
    </row>
    <row r="742" spans="1:14" x14ac:dyDescent="0.2">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4">
        <v>70000</v>
      </c>
      <c r="E746">
        <v>4</v>
      </c>
      <c r="F746" t="s">
        <v>19</v>
      </c>
      <c r="G746" t="s">
        <v>21</v>
      </c>
      <c r="H746" t="s">
        <v>15</v>
      </c>
      <c r="I746">
        <v>1</v>
      </c>
      <c r="J746" t="s">
        <v>49</v>
      </c>
      <c r="K746" t="s">
        <v>32</v>
      </c>
      <c r="L746">
        <v>56</v>
      </c>
      <c r="M746" t="str">
        <f t="shared" si="11"/>
        <v>Old</v>
      </c>
      <c r="N746" t="s">
        <v>18</v>
      </c>
    </row>
    <row r="747" spans="1:14" x14ac:dyDescent="0.2">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4">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4">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4">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4">
        <v>50000</v>
      </c>
      <c r="E768">
        <v>4</v>
      </c>
      <c r="F768" t="s">
        <v>13</v>
      </c>
      <c r="G768" t="s">
        <v>14</v>
      </c>
      <c r="H768" t="s">
        <v>15</v>
      </c>
      <c r="I768">
        <v>3</v>
      </c>
      <c r="J768" t="s">
        <v>49</v>
      </c>
      <c r="K768" t="s">
        <v>32</v>
      </c>
      <c r="L768">
        <v>42</v>
      </c>
      <c r="M768" t="str">
        <f t="shared" si="11"/>
        <v>Middle Age</v>
      </c>
      <c r="N768" t="s">
        <v>18</v>
      </c>
    </row>
    <row r="769" spans="1:14" x14ac:dyDescent="0.2">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4">
        <v>100000</v>
      </c>
      <c r="E771">
        <v>4</v>
      </c>
      <c r="F771" t="s">
        <v>13</v>
      </c>
      <c r="G771" t="s">
        <v>28</v>
      </c>
      <c r="H771" t="s">
        <v>15</v>
      </c>
      <c r="I771">
        <v>4</v>
      </c>
      <c r="J771" t="s">
        <v>16</v>
      </c>
      <c r="K771" t="s">
        <v>32</v>
      </c>
      <c r="L771">
        <v>40</v>
      </c>
      <c r="M771" t="str">
        <f t="shared" ref="M771:M834" si="12">IF(L771&gt;54, "Old", IF(L771&gt;=31, "Middle Age", IF(L771 &lt; 31, "Adolescent", "Invalid")))</f>
        <v>Middle Age</v>
      </c>
      <c r="N771" t="s">
        <v>18</v>
      </c>
    </row>
    <row r="772" spans="1:14" x14ac:dyDescent="0.2">
      <c r="A772">
        <v>17699</v>
      </c>
      <c r="B772" t="s">
        <v>36</v>
      </c>
      <c r="C772" t="s">
        <v>38</v>
      </c>
      <c r="D772" s="4">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4">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38</v>
      </c>
      <c r="D778" s="4">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4">
        <v>60000</v>
      </c>
      <c r="E782">
        <v>2</v>
      </c>
      <c r="F782" t="s">
        <v>19</v>
      </c>
      <c r="G782" t="s">
        <v>21</v>
      </c>
      <c r="H782" t="s">
        <v>15</v>
      </c>
      <c r="I782">
        <v>1</v>
      </c>
      <c r="J782" t="s">
        <v>49</v>
      </c>
      <c r="K782" t="s">
        <v>32</v>
      </c>
      <c r="L782">
        <v>55</v>
      </c>
      <c r="M782" t="str">
        <f t="shared" si="12"/>
        <v>Old</v>
      </c>
      <c r="N782" t="s">
        <v>18</v>
      </c>
    </row>
    <row r="783" spans="1:14" x14ac:dyDescent="0.2">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4">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4">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4">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4">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4">
        <v>70000</v>
      </c>
      <c r="E814">
        <v>4</v>
      </c>
      <c r="F814" t="s">
        <v>13</v>
      </c>
      <c r="G814" t="s">
        <v>28</v>
      </c>
      <c r="H814" t="s">
        <v>15</v>
      </c>
      <c r="I814">
        <v>2</v>
      </c>
      <c r="J814" t="s">
        <v>49</v>
      </c>
      <c r="K814" t="s">
        <v>32</v>
      </c>
      <c r="L814">
        <v>61</v>
      </c>
      <c r="M814" t="str">
        <f t="shared" si="12"/>
        <v>Old</v>
      </c>
      <c r="N814" t="s">
        <v>18</v>
      </c>
    </row>
    <row r="815" spans="1:14" x14ac:dyDescent="0.2">
      <c r="A815">
        <v>25899</v>
      </c>
      <c r="B815" t="s">
        <v>36</v>
      </c>
      <c r="C815" t="s">
        <v>39</v>
      </c>
      <c r="D815" s="4">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39</v>
      </c>
      <c r="D816" s="4">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4">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4">
        <v>70000</v>
      </c>
      <c r="E835">
        <v>0</v>
      </c>
      <c r="F835" t="s">
        <v>13</v>
      </c>
      <c r="G835" t="s">
        <v>21</v>
      </c>
      <c r="H835" t="s">
        <v>18</v>
      </c>
      <c r="I835">
        <v>1</v>
      </c>
      <c r="J835" t="s">
        <v>16</v>
      </c>
      <c r="K835" t="s">
        <v>32</v>
      </c>
      <c r="L835">
        <v>37</v>
      </c>
      <c r="M835" t="str">
        <f t="shared" ref="M835:M898" si="13">IF(L835&gt;54, "Old", IF(L835&gt;=31, "Middle Age", IF(L835 &lt; 31, "Adolescent", "Invalid")))</f>
        <v>Middle Age</v>
      </c>
      <c r="N835" t="s">
        <v>15</v>
      </c>
    </row>
    <row r="836" spans="1:14" x14ac:dyDescent="0.2">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4">
        <v>70000</v>
      </c>
      <c r="E842">
        <v>4</v>
      </c>
      <c r="F842" t="s">
        <v>19</v>
      </c>
      <c r="G842" t="s">
        <v>21</v>
      </c>
      <c r="H842" t="s">
        <v>15</v>
      </c>
      <c r="I842">
        <v>2</v>
      </c>
      <c r="J842" t="s">
        <v>49</v>
      </c>
      <c r="K842" t="s">
        <v>32</v>
      </c>
      <c r="L842">
        <v>53</v>
      </c>
      <c r="M842" t="str">
        <f t="shared" si="13"/>
        <v>Middle Age</v>
      </c>
      <c r="N842" t="s">
        <v>18</v>
      </c>
    </row>
    <row r="843" spans="1:14" x14ac:dyDescent="0.2">
      <c r="A843">
        <v>12056</v>
      </c>
      <c r="B843" t="s">
        <v>36</v>
      </c>
      <c r="C843" t="s">
        <v>38</v>
      </c>
      <c r="D843" s="4">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4">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4">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4">
        <v>60000</v>
      </c>
      <c r="E868">
        <v>2</v>
      </c>
      <c r="F868" t="s">
        <v>27</v>
      </c>
      <c r="G868" t="s">
        <v>21</v>
      </c>
      <c r="H868" t="s">
        <v>15</v>
      </c>
      <c r="I868">
        <v>2</v>
      </c>
      <c r="J868" t="s">
        <v>49</v>
      </c>
      <c r="K868" t="s">
        <v>32</v>
      </c>
      <c r="L868">
        <v>55</v>
      </c>
      <c r="M868" t="str">
        <f t="shared" si="13"/>
        <v>Old</v>
      </c>
      <c r="N868" t="s">
        <v>18</v>
      </c>
    </row>
    <row r="869" spans="1:14" x14ac:dyDescent="0.2">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4">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4">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4">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4">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4">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4">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4">
        <v>30000</v>
      </c>
      <c r="E899">
        <v>0</v>
      </c>
      <c r="F899" t="s">
        <v>29</v>
      </c>
      <c r="G899" t="s">
        <v>20</v>
      </c>
      <c r="H899" t="s">
        <v>18</v>
      </c>
      <c r="I899">
        <v>2</v>
      </c>
      <c r="J899" t="s">
        <v>16</v>
      </c>
      <c r="K899" t="s">
        <v>32</v>
      </c>
      <c r="L899">
        <v>28</v>
      </c>
      <c r="M899" t="str">
        <f t="shared" ref="M899:M962" si="14">IF(L899&gt;54, "Old", IF(L899&gt;=31, "Middle Age", IF(L899 &lt; 31, "Adolescent", "Invalid")))</f>
        <v>Adolescent</v>
      </c>
      <c r="N899" t="s">
        <v>18</v>
      </c>
    </row>
    <row r="900" spans="1:14" x14ac:dyDescent="0.2">
      <c r="A900">
        <v>18066</v>
      </c>
      <c r="B900" t="s">
        <v>37</v>
      </c>
      <c r="C900" t="s">
        <v>38</v>
      </c>
      <c r="D900" s="4">
        <v>70000</v>
      </c>
      <c r="E900">
        <v>5</v>
      </c>
      <c r="F900" t="s">
        <v>13</v>
      </c>
      <c r="G900" t="s">
        <v>28</v>
      </c>
      <c r="H900" t="s">
        <v>15</v>
      </c>
      <c r="I900">
        <v>3</v>
      </c>
      <c r="J900" t="s">
        <v>49</v>
      </c>
      <c r="K900" t="s">
        <v>32</v>
      </c>
      <c r="L900">
        <v>60</v>
      </c>
      <c r="M900" t="str">
        <f t="shared" si="14"/>
        <v>Old</v>
      </c>
      <c r="N900" t="s">
        <v>15</v>
      </c>
    </row>
    <row r="901" spans="1:14" x14ac:dyDescent="0.2">
      <c r="A901">
        <v>28192</v>
      </c>
      <c r="B901" t="s">
        <v>36</v>
      </c>
      <c r="C901" t="s">
        <v>39</v>
      </c>
      <c r="D901" s="4">
        <v>70000</v>
      </c>
      <c r="E901">
        <v>5</v>
      </c>
      <c r="F901" t="s">
        <v>31</v>
      </c>
      <c r="G901" t="s">
        <v>21</v>
      </c>
      <c r="H901" t="s">
        <v>15</v>
      </c>
      <c r="I901">
        <v>3</v>
      </c>
      <c r="J901" t="s">
        <v>49</v>
      </c>
      <c r="K901" t="s">
        <v>32</v>
      </c>
      <c r="L901">
        <v>46</v>
      </c>
      <c r="M901" t="str">
        <f t="shared" si="14"/>
        <v>Middle Age</v>
      </c>
      <c r="N901" t="s">
        <v>18</v>
      </c>
    </row>
    <row r="902" spans="1:14" x14ac:dyDescent="0.2">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4">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4">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4">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4">
        <v>40000</v>
      </c>
      <c r="E921">
        <v>4</v>
      </c>
      <c r="F921" t="s">
        <v>27</v>
      </c>
      <c r="G921" t="s">
        <v>21</v>
      </c>
      <c r="H921" t="s">
        <v>15</v>
      </c>
      <c r="I921">
        <v>2</v>
      </c>
      <c r="J921" t="s">
        <v>49</v>
      </c>
      <c r="K921" t="s">
        <v>32</v>
      </c>
      <c r="L921">
        <v>61</v>
      </c>
      <c r="M921" t="str">
        <f t="shared" si="14"/>
        <v>Old</v>
      </c>
      <c r="N921" t="s">
        <v>18</v>
      </c>
    </row>
    <row r="922" spans="1:14" x14ac:dyDescent="0.2">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4">
        <v>40000</v>
      </c>
      <c r="E928">
        <v>2</v>
      </c>
      <c r="F928" t="s">
        <v>27</v>
      </c>
      <c r="G928" t="s">
        <v>21</v>
      </c>
      <c r="H928" t="s">
        <v>15</v>
      </c>
      <c r="I928">
        <v>2</v>
      </c>
      <c r="J928" t="s">
        <v>49</v>
      </c>
      <c r="K928" t="s">
        <v>32</v>
      </c>
      <c r="L928">
        <v>57</v>
      </c>
      <c r="M928" t="str">
        <f t="shared" si="14"/>
        <v>Old</v>
      </c>
      <c r="N928" t="s">
        <v>18</v>
      </c>
    </row>
    <row r="929" spans="1:14" x14ac:dyDescent="0.2">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4">
        <v>70000</v>
      </c>
      <c r="E932">
        <v>5</v>
      </c>
      <c r="F932" t="s">
        <v>31</v>
      </c>
      <c r="G932" t="s">
        <v>21</v>
      </c>
      <c r="H932" t="s">
        <v>18</v>
      </c>
      <c r="I932">
        <v>3</v>
      </c>
      <c r="J932" t="s">
        <v>49</v>
      </c>
      <c r="K932" t="s">
        <v>32</v>
      </c>
      <c r="L932">
        <v>47</v>
      </c>
      <c r="M932" t="str">
        <f t="shared" si="14"/>
        <v>Middle Age</v>
      </c>
      <c r="N932" t="s">
        <v>18</v>
      </c>
    </row>
    <row r="933" spans="1:14" x14ac:dyDescent="0.2">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4">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4">
        <v>120000</v>
      </c>
      <c r="E963">
        <v>2</v>
      </c>
      <c r="F963" t="s">
        <v>13</v>
      </c>
      <c r="G963" t="s">
        <v>28</v>
      </c>
      <c r="H963" t="s">
        <v>15</v>
      </c>
      <c r="I963">
        <v>3</v>
      </c>
      <c r="J963" t="s">
        <v>23</v>
      </c>
      <c r="K963" t="s">
        <v>32</v>
      </c>
      <c r="L963">
        <v>62</v>
      </c>
      <c r="M963" t="str">
        <f t="shared" ref="M963:M1026" si="15">IF(L963&gt;54, "Old", IF(L963&gt;=31, "Middle Age", IF(L963 &lt; 31, "Adolescent", "Invalid")))</f>
        <v>Old</v>
      </c>
      <c r="N963" t="s">
        <v>18</v>
      </c>
    </row>
    <row r="964" spans="1:14" x14ac:dyDescent="0.2">
      <c r="A964">
        <v>16813</v>
      </c>
      <c r="B964" t="s">
        <v>36</v>
      </c>
      <c r="C964" t="s">
        <v>38</v>
      </c>
      <c r="D964" s="4">
        <v>60000</v>
      </c>
      <c r="E964">
        <v>2</v>
      </c>
      <c r="F964" t="s">
        <v>19</v>
      </c>
      <c r="G964" t="s">
        <v>21</v>
      </c>
      <c r="H964" t="s">
        <v>15</v>
      </c>
      <c r="I964">
        <v>2</v>
      </c>
      <c r="J964" t="s">
        <v>49</v>
      </c>
      <c r="K964" t="s">
        <v>32</v>
      </c>
      <c r="L964">
        <v>55</v>
      </c>
      <c r="M964" t="str">
        <f t="shared" si="15"/>
        <v>Old</v>
      </c>
      <c r="N964" t="s">
        <v>18</v>
      </c>
    </row>
    <row r="965" spans="1:14" x14ac:dyDescent="0.2">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4">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4">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4">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39</v>
      </c>
      <c r="D979" s="4">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4">
        <v>80000</v>
      </c>
      <c r="E982">
        <v>3</v>
      </c>
      <c r="F982" t="s">
        <v>13</v>
      </c>
      <c r="G982" t="s">
        <v>14</v>
      </c>
      <c r="H982" t="s">
        <v>15</v>
      </c>
      <c r="I982">
        <v>3</v>
      </c>
      <c r="J982" t="s">
        <v>49</v>
      </c>
      <c r="K982" t="s">
        <v>32</v>
      </c>
      <c r="L982">
        <v>40</v>
      </c>
      <c r="M982" t="str">
        <f t="shared" si="15"/>
        <v>Middle Age</v>
      </c>
      <c r="N982" t="s">
        <v>15</v>
      </c>
    </row>
    <row r="983" spans="1:14" x14ac:dyDescent="0.2">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4">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39</v>
      </c>
      <c r="D989" s="4">
        <v>60000</v>
      </c>
      <c r="E989">
        <v>3</v>
      </c>
      <c r="F989" t="s">
        <v>31</v>
      </c>
      <c r="G989" t="s">
        <v>28</v>
      </c>
      <c r="H989" t="s">
        <v>15</v>
      </c>
      <c r="I989">
        <v>2</v>
      </c>
      <c r="J989" t="s">
        <v>49</v>
      </c>
      <c r="K989" t="s">
        <v>32</v>
      </c>
      <c r="L989">
        <v>66</v>
      </c>
      <c r="M989" t="str">
        <f t="shared" si="15"/>
        <v>Old</v>
      </c>
      <c r="N989" t="s">
        <v>18</v>
      </c>
    </row>
    <row r="990" spans="1:14" x14ac:dyDescent="0.2">
      <c r="A990">
        <v>22730</v>
      </c>
      <c r="B990" t="s">
        <v>36</v>
      </c>
      <c r="C990" t="s">
        <v>38</v>
      </c>
      <c r="D990" s="4">
        <v>70000</v>
      </c>
      <c r="E990">
        <v>5</v>
      </c>
      <c r="F990" t="s">
        <v>13</v>
      </c>
      <c r="G990" t="s">
        <v>28</v>
      </c>
      <c r="H990" t="s">
        <v>15</v>
      </c>
      <c r="I990">
        <v>2</v>
      </c>
      <c r="J990" t="s">
        <v>49</v>
      </c>
      <c r="K990" t="s">
        <v>32</v>
      </c>
      <c r="L990">
        <v>63</v>
      </c>
      <c r="M990" t="str">
        <f t="shared" si="15"/>
        <v>Old</v>
      </c>
      <c r="N990" t="s">
        <v>18</v>
      </c>
    </row>
    <row r="991" spans="1:14" x14ac:dyDescent="0.2">
      <c r="A991">
        <v>29134</v>
      </c>
      <c r="B991" t="s">
        <v>36</v>
      </c>
      <c r="C991" t="s">
        <v>38</v>
      </c>
      <c r="D991" s="4">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4">
        <v>60000</v>
      </c>
      <c r="E1001">
        <v>3</v>
      </c>
      <c r="F1001" t="s">
        <v>27</v>
      </c>
      <c r="G1001" t="s">
        <v>21</v>
      </c>
      <c r="H1001" t="s">
        <v>15</v>
      </c>
      <c r="I1001">
        <v>2</v>
      </c>
      <c r="J1001" t="s">
        <v>49</v>
      </c>
      <c r="K1001" t="s">
        <v>32</v>
      </c>
      <c r="L1001">
        <v>53</v>
      </c>
      <c r="M1001" t="str">
        <f t="shared" si="15"/>
        <v>Middle Age</v>
      </c>
      <c r="N1001" t="s">
        <v>15</v>
      </c>
    </row>
    <row r="1002" spans="1:14" x14ac:dyDescent="0.2">
      <c r="M1002" t="str">
        <f t="shared" si="15"/>
        <v>Adolescent</v>
      </c>
    </row>
    <row r="1003" spans="1:14" x14ac:dyDescent="0.2">
      <c r="M1003" t="str">
        <f t="shared" si="15"/>
        <v>Adolescent</v>
      </c>
    </row>
    <row r="1004" spans="1:14" x14ac:dyDescent="0.2">
      <c r="M1004" t="str">
        <f t="shared" si="15"/>
        <v>Adolescent</v>
      </c>
    </row>
    <row r="1005" spans="1:14" x14ac:dyDescent="0.2">
      <c r="M1005" t="str">
        <f t="shared" si="15"/>
        <v>Adolescent</v>
      </c>
    </row>
    <row r="1006" spans="1:14" x14ac:dyDescent="0.2">
      <c r="M1006" t="str">
        <f t="shared" si="15"/>
        <v>Adolescent</v>
      </c>
    </row>
    <row r="1007" spans="1:14" x14ac:dyDescent="0.2">
      <c r="M1007" t="str">
        <f t="shared" si="15"/>
        <v>Adolescent</v>
      </c>
    </row>
    <row r="1008" spans="1:14" x14ac:dyDescent="0.2">
      <c r="M1008" t="str">
        <f t="shared" si="15"/>
        <v>Adolescent</v>
      </c>
    </row>
    <row r="1009" spans="13:13" x14ac:dyDescent="0.2">
      <c r="M1009" t="str">
        <f t="shared" si="15"/>
        <v>Adolescent</v>
      </c>
    </row>
    <row r="1010" spans="13:13" x14ac:dyDescent="0.2">
      <c r="M1010" t="str">
        <f t="shared" si="15"/>
        <v>Adolescent</v>
      </c>
    </row>
    <row r="1011" spans="13:13" x14ac:dyDescent="0.2">
      <c r="M1011" t="str">
        <f t="shared" si="15"/>
        <v>Adolescent</v>
      </c>
    </row>
    <row r="1012" spans="13:13" x14ac:dyDescent="0.2">
      <c r="M1012" t="str">
        <f t="shared" si="15"/>
        <v>Adolescent</v>
      </c>
    </row>
    <row r="1013" spans="13:13" x14ac:dyDescent="0.2">
      <c r="M1013" t="str">
        <f t="shared" si="15"/>
        <v>Adolescent</v>
      </c>
    </row>
    <row r="1014" spans="13:13" x14ac:dyDescent="0.2">
      <c r="M1014" t="str">
        <f t="shared" si="15"/>
        <v>Adolescent</v>
      </c>
    </row>
    <row r="1015" spans="13:13" x14ac:dyDescent="0.2">
      <c r="M1015" t="str">
        <f t="shared" si="15"/>
        <v>Adolescent</v>
      </c>
    </row>
    <row r="1016" spans="13:13" x14ac:dyDescent="0.2">
      <c r="M1016" t="str">
        <f t="shared" si="15"/>
        <v>Adolescent</v>
      </c>
    </row>
    <row r="1017" spans="13:13" x14ac:dyDescent="0.2">
      <c r="M1017" t="str">
        <f t="shared" si="15"/>
        <v>Adolescent</v>
      </c>
    </row>
    <row r="1018" spans="13:13" x14ac:dyDescent="0.2">
      <c r="M1018" t="str">
        <f t="shared" si="15"/>
        <v>Adolescent</v>
      </c>
    </row>
    <row r="1019" spans="13:13" x14ac:dyDescent="0.2">
      <c r="M1019" t="str">
        <f t="shared" si="15"/>
        <v>Adolescent</v>
      </c>
    </row>
    <row r="1020" spans="13:13" x14ac:dyDescent="0.2">
      <c r="M1020" t="str">
        <f t="shared" si="15"/>
        <v>Adolescent</v>
      </c>
    </row>
    <row r="1021" spans="13:13" x14ac:dyDescent="0.2">
      <c r="M1021" t="str">
        <f t="shared" si="15"/>
        <v>Adolescent</v>
      </c>
    </row>
    <row r="1022" spans="13:13" x14ac:dyDescent="0.2">
      <c r="M1022" t="str">
        <f t="shared" si="15"/>
        <v>Adolescent</v>
      </c>
    </row>
    <row r="1023" spans="13:13" x14ac:dyDescent="0.2">
      <c r="M1023" t="str">
        <f t="shared" si="15"/>
        <v>Adolescent</v>
      </c>
    </row>
    <row r="1024" spans="13:13" x14ac:dyDescent="0.2">
      <c r="M1024" t="str">
        <f t="shared" si="15"/>
        <v>Adolescent</v>
      </c>
    </row>
    <row r="1025" spans="13:13" x14ac:dyDescent="0.2">
      <c r="M1025" t="str">
        <f t="shared" si="15"/>
        <v>Adolescent</v>
      </c>
    </row>
    <row r="1026" spans="13:13" x14ac:dyDescent="0.2">
      <c r="M1026" t="str">
        <f t="shared" si="15"/>
        <v>Adolescent</v>
      </c>
    </row>
    <row r="1027" spans="13:13" x14ac:dyDescent="0.2">
      <c r="M1027" t="str">
        <f t="shared" ref="M1027" si="16">IF(L1027&gt;54, "Old", IF(L1027&gt;=31, "Middle Age", IF(L1027 &lt; 31, "Adolescent", "Invalid")))</f>
        <v>Adolescent</v>
      </c>
    </row>
  </sheetData>
  <autoFilter ref="A1:N1027" xr:uid="{CEF5C455-46C3-4740-A04F-A21AC610E08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15DC-AD3A-1547-9398-E164075E6AEC}">
  <dimension ref="A1:D125"/>
  <sheetViews>
    <sheetView topLeftCell="A113" zoomScale="125" workbookViewId="0">
      <selection activeCell="P61" sqref="P61"/>
    </sheetView>
  </sheetViews>
  <sheetFormatPr baseColWidth="10" defaultRowHeight="15" x14ac:dyDescent="0.2"/>
  <cols>
    <col min="1" max="1" width="20.5" bestFit="1" customWidth="1"/>
    <col min="2" max="2" width="14.83203125" bestFit="1" customWidth="1"/>
    <col min="3" max="3" width="4.1640625" bestFit="1" customWidth="1"/>
    <col min="4" max="4" width="10.33203125" bestFit="1" customWidth="1"/>
  </cols>
  <sheetData>
    <row r="1" spans="1:4" x14ac:dyDescent="0.2">
      <c r="A1" s="6" t="s">
        <v>43</v>
      </c>
      <c r="B1" s="6" t="s">
        <v>44</v>
      </c>
    </row>
    <row r="2" spans="1:4" x14ac:dyDescent="0.2">
      <c r="A2" s="6" t="s">
        <v>41</v>
      </c>
      <c r="B2" t="s">
        <v>18</v>
      </c>
      <c r="C2" t="s">
        <v>15</v>
      </c>
      <c r="D2" t="s">
        <v>42</v>
      </c>
    </row>
    <row r="3" spans="1:4" x14ac:dyDescent="0.2">
      <c r="A3" s="7" t="s">
        <v>39</v>
      </c>
      <c r="B3" s="8">
        <v>53440</v>
      </c>
      <c r="C3" s="8">
        <v>55774.058577405856</v>
      </c>
      <c r="D3" s="8">
        <v>54580.777096114522</v>
      </c>
    </row>
    <row r="4" spans="1:4" x14ac:dyDescent="0.2">
      <c r="A4" s="7" t="s">
        <v>38</v>
      </c>
      <c r="B4" s="8">
        <v>56208.178438661707</v>
      </c>
      <c r="C4" s="8">
        <v>60123.966942148763</v>
      </c>
      <c r="D4" s="8">
        <v>58062.62230919765</v>
      </c>
    </row>
    <row r="5" spans="1:4" x14ac:dyDescent="0.2">
      <c r="A5" s="7" t="s">
        <v>42</v>
      </c>
      <c r="B5" s="8">
        <v>54874.759152215796</v>
      </c>
      <c r="C5" s="8">
        <v>57962.577962577961</v>
      </c>
      <c r="D5" s="8">
        <v>56360</v>
      </c>
    </row>
    <row r="29" spans="1:4" x14ac:dyDescent="0.2">
      <c r="A29" s="6" t="s">
        <v>48</v>
      </c>
      <c r="B29" s="6" t="s">
        <v>44</v>
      </c>
    </row>
    <row r="30" spans="1:4" x14ac:dyDescent="0.2">
      <c r="A30" s="6" t="s">
        <v>41</v>
      </c>
      <c r="B30" t="s">
        <v>18</v>
      </c>
      <c r="C30" t="s">
        <v>15</v>
      </c>
      <c r="D30" t="s">
        <v>42</v>
      </c>
    </row>
    <row r="31" spans="1:4" x14ac:dyDescent="0.2">
      <c r="A31" s="7" t="s">
        <v>16</v>
      </c>
      <c r="B31" s="3">
        <v>166</v>
      </c>
      <c r="C31" s="3">
        <v>200</v>
      </c>
      <c r="D31" s="3">
        <v>366</v>
      </c>
    </row>
    <row r="32" spans="1:4" x14ac:dyDescent="0.2">
      <c r="A32" s="7" t="s">
        <v>26</v>
      </c>
      <c r="B32" s="3">
        <v>92</v>
      </c>
      <c r="C32" s="3">
        <v>77</v>
      </c>
      <c r="D32" s="3">
        <v>169</v>
      </c>
    </row>
    <row r="33" spans="1:4" x14ac:dyDescent="0.2">
      <c r="A33" s="7" t="s">
        <v>22</v>
      </c>
      <c r="B33" s="3">
        <v>67</v>
      </c>
      <c r="C33" s="3">
        <v>95</v>
      </c>
      <c r="D33" s="3">
        <v>162</v>
      </c>
    </row>
    <row r="34" spans="1:4" x14ac:dyDescent="0.2">
      <c r="A34" s="7" t="s">
        <v>23</v>
      </c>
      <c r="B34" s="3">
        <v>116</v>
      </c>
      <c r="C34" s="3">
        <v>76</v>
      </c>
      <c r="D34" s="3">
        <v>192</v>
      </c>
    </row>
    <row r="35" spans="1:4" x14ac:dyDescent="0.2">
      <c r="A35" s="7" t="s">
        <v>49</v>
      </c>
      <c r="B35" s="3">
        <v>78</v>
      </c>
      <c r="C35" s="3">
        <v>33</v>
      </c>
      <c r="D35" s="3">
        <v>111</v>
      </c>
    </row>
    <row r="36" spans="1:4" x14ac:dyDescent="0.2">
      <c r="A36" s="7" t="s">
        <v>42</v>
      </c>
      <c r="B36" s="3">
        <v>519</v>
      </c>
      <c r="C36" s="3">
        <v>481</v>
      </c>
      <c r="D36" s="3">
        <v>1000</v>
      </c>
    </row>
    <row r="48" spans="1:4" x14ac:dyDescent="0.2">
      <c r="A48" s="6" t="s">
        <v>48</v>
      </c>
      <c r="B48" s="6" t="s">
        <v>44</v>
      </c>
    </row>
    <row r="49" spans="1:4" x14ac:dyDescent="0.2">
      <c r="A49" s="6" t="s">
        <v>41</v>
      </c>
      <c r="B49" t="s">
        <v>18</v>
      </c>
      <c r="C49" t="s">
        <v>15</v>
      </c>
      <c r="D49" t="s">
        <v>42</v>
      </c>
    </row>
    <row r="50" spans="1:4" x14ac:dyDescent="0.2">
      <c r="A50" s="7" t="s">
        <v>46</v>
      </c>
      <c r="B50" s="3">
        <v>71</v>
      </c>
      <c r="C50" s="3">
        <v>39</v>
      </c>
      <c r="D50" s="3">
        <v>110</v>
      </c>
    </row>
    <row r="51" spans="1:4" x14ac:dyDescent="0.2">
      <c r="A51" s="7" t="s">
        <v>45</v>
      </c>
      <c r="B51" s="3">
        <v>318</v>
      </c>
      <c r="C51" s="3">
        <v>383</v>
      </c>
      <c r="D51" s="3">
        <v>701</v>
      </c>
    </row>
    <row r="52" spans="1:4" x14ac:dyDescent="0.2">
      <c r="A52" s="7" t="s">
        <v>47</v>
      </c>
      <c r="B52" s="3">
        <v>130</v>
      </c>
      <c r="C52" s="3">
        <v>59</v>
      </c>
      <c r="D52" s="3">
        <v>189</v>
      </c>
    </row>
    <row r="53" spans="1:4" x14ac:dyDescent="0.2">
      <c r="A53" s="7" t="s">
        <v>42</v>
      </c>
      <c r="B53" s="3">
        <v>519</v>
      </c>
      <c r="C53" s="3">
        <v>481</v>
      </c>
      <c r="D53" s="3">
        <v>1000</v>
      </c>
    </row>
    <row r="70" spans="1:4" x14ac:dyDescent="0.2">
      <c r="A70" s="6" t="s">
        <v>48</v>
      </c>
      <c r="B70" s="6" t="s">
        <v>44</v>
      </c>
    </row>
    <row r="71" spans="1:4" x14ac:dyDescent="0.2">
      <c r="A71" s="6" t="s">
        <v>41</v>
      </c>
      <c r="B71" t="s">
        <v>18</v>
      </c>
      <c r="C71" t="s">
        <v>15</v>
      </c>
      <c r="D71" t="s">
        <v>42</v>
      </c>
    </row>
    <row r="72" spans="1:4" x14ac:dyDescent="0.2">
      <c r="A72" s="7">
        <v>25</v>
      </c>
      <c r="B72" s="3">
        <v>2</v>
      </c>
      <c r="C72" s="3">
        <v>4</v>
      </c>
      <c r="D72" s="3">
        <v>6</v>
      </c>
    </row>
    <row r="73" spans="1:4" x14ac:dyDescent="0.2">
      <c r="A73" s="7">
        <v>26</v>
      </c>
      <c r="B73" s="3">
        <v>8</v>
      </c>
      <c r="C73" s="3">
        <v>8</v>
      </c>
      <c r="D73" s="3">
        <v>16</v>
      </c>
    </row>
    <row r="74" spans="1:4" x14ac:dyDescent="0.2">
      <c r="A74" s="7">
        <v>27</v>
      </c>
      <c r="B74" s="3">
        <v>15</v>
      </c>
      <c r="C74" s="3">
        <v>8</v>
      </c>
      <c r="D74" s="3">
        <v>23</v>
      </c>
    </row>
    <row r="75" spans="1:4" x14ac:dyDescent="0.2">
      <c r="A75" s="7">
        <v>28</v>
      </c>
      <c r="B75" s="3">
        <v>12</v>
      </c>
      <c r="C75" s="3">
        <v>10</v>
      </c>
      <c r="D75" s="3">
        <v>22</v>
      </c>
    </row>
    <row r="76" spans="1:4" x14ac:dyDescent="0.2">
      <c r="A76" s="7">
        <v>29</v>
      </c>
      <c r="B76" s="3">
        <v>11</v>
      </c>
      <c r="C76" s="3">
        <v>5</v>
      </c>
      <c r="D76" s="3">
        <v>16</v>
      </c>
    </row>
    <row r="77" spans="1:4" x14ac:dyDescent="0.2">
      <c r="A77" s="7">
        <v>30</v>
      </c>
      <c r="B77" s="3">
        <v>23</v>
      </c>
      <c r="C77" s="3">
        <v>4</v>
      </c>
      <c r="D77" s="3">
        <v>27</v>
      </c>
    </row>
    <row r="78" spans="1:4" x14ac:dyDescent="0.2">
      <c r="A78" s="7">
        <v>31</v>
      </c>
      <c r="B78" s="3">
        <v>17</v>
      </c>
      <c r="C78" s="3">
        <v>8</v>
      </c>
      <c r="D78" s="3">
        <v>25</v>
      </c>
    </row>
    <row r="79" spans="1:4" x14ac:dyDescent="0.2">
      <c r="A79" s="7">
        <v>32</v>
      </c>
      <c r="B79" s="3">
        <v>19</v>
      </c>
      <c r="C79" s="3">
        <v>14</v>
      </c>
      <c r="D79" s="3">
        <v>33</v>
      </c>
    </row>
    <row r="80" spans="1:4" x14ac:dyDescent="0.2">
      <c r="A80" s="7">
        <v>33</v>
      </c>
      <c r="B80" s="3">
        <v>8</v>
      </c>
      <c r="C80" s="3">
        <v>13</v>
      </c>
      <c r="D80" s="3">
        <v>21</v>
      </c>
    </row>
    <row r="81" spans="1:4" x14ac:dyDescent="0.2">
      <c r="A81" s="7">
        <v>34</v>
      </c>
      <c r="B81" s="3">
        <v>12</v>
      </c>
      <c r="C81" s="3">
        <v>19</v>
      </c>
      <c r="D81" s="3">
        <v>31</v>
      </c>
    </row>
    <row r="82" spans="1:4" x14ac:dyDescent="0.2">
      <c r="A82" s="7">
        <v>35</v>
      </c>
      <c r="B82" s="3">
        <v>14</v>
      </c>
      <c r="C82" s="3">
        <v>22</v>
      </c>
      <c r="D82" s="3">
        <v>36</v>
      </c>
    </row>
    <row r="83" spans="1:4" x14ac:dyDescent="0.2">
      <c r="A83" s="7">
        <v>36</v>
      </c>
      <c r="B83" s="3">
        <v>7</v>
      </c>
      <c r="C83" s="3">
        <v>30</v>
      </c>
      <c r="D83" s="3">
        <v>37</v>
      </c>
    </row>
    <row r="84" spans="1:4" x14ac:dyDescent="0.2">
      <c r="A84" s="7">
        <v>37</v>
      </c>
      <c r="B84" s="3">
        <v>4</v>
      </c>
      <c r="C84" s="3">
        <v>28</v>
      </c>
      <c r="D84" s="3">
        <v>32</v>
      </c>
    </row>
    <row r="85" spans="1:4" x14ac:dyDescent="0.2">
      <c r="A85" s="7">
        <v>38</v>
      </c>
      <c r="B85" s="3">
        <v>8</v>
      </c>
      <c r="C85" s="3">
        <v>29</v>
      </c>
      <c r="D85" s="3">
        <v>37</v>
      </c>
    </row>
    <row r="86" spans="1:4" x14ac:dyDescent="0.2">
      <c r="A86" s="7">
        <v>39</v>
      </c>
      <c r="B86" s="3">
        <v>10</v>
      </c>
      <c r="C86" s="3">
        <v>12</v>
      </c>
      <c r="D86" s="3">
        <v>22</v>
      </c>
    </row>
    <row r="87" spans="1:4" x14ac:dyDescent="0.2">
      <c r="A87" s="7">
        <v>40</v>
      </c>
      <c r="B87" s="3">
        <v>24</v>
      </c>
      <c r="C87" s="3">
        <v>18</v>
      </c>
      <c r="D87" s="3">
        <v>42</v>
      </c>
    </row>
    <row r="88" spans="1:4" x14ac:dyDescent="0.2">
      <c r="A88" s="7">
        <v>41</v>
      </c>
      <c r="B88" s="3">
        <v>13</v>
      </c>
      <c r="C88" s="3">
        <v>15</v>
      </c>
      <c r="D88" s="3">
        <v>28</v>
      </c>
    </row>
    <row r="89" spans="1:4" x14ac:dyDescent="0.2">
      <c r="A89" s="7">
        <v>42</v>
      </c>
      <c r="B89" s="3">
        <v>22</v>
      </c>
      <c r="C89" s="3">
        <v>12</v>
      </c>
      <c r="D89" s="3">
        <v>34</v>
      </c>
    </row>
    <row r="90" spans="1:4" x14ac:dyDescent="0.2">
      <c r="A90" s="7">
        <v>43</v>
      </c>
      <c r="B90" s="3">
        <v>17</v>
      </c>
      <c r="C90" s="3">
        <v>19</v>
      </c>
      <c r="D90" s="3">
        <v>36</v>
      </c>
    </row>
    <row r="91" spans="1:4" x14ac:dyDescent="0.2">
      <c r="A91" s="7">
        <v>44</v>
      </c>
      <c r="B91" s="3">
        <v>15</v>
      </c>
      <c r="C91" s="3">
        <v>12</v>
      </c>
      <c r="D91" s="3">
        <v>27</v>
      </c>
    </row>
    <row r="92" spans="1:4" x14ac:dyDescent="0.2">
      <c r="A92" s="7">
        <v>45</v>
      </c>
      <c r="B92" s="3">
        <v>18</v>
      </c>
      <c r="C92" s="3">
        <v>13</v>
      </c>
      <c r="D92" s="3">
        <v>31</v>
      </c>
    </row>
    <row r="93" spans="1:4" x14ac:dyDescent="0.2">
      <c r="A93" s="7">
        <v>46</v>
      </c>
      <c r="B93" s="3">
        <v>12</v>
      </c>
      <c r="C93" s="3">
        <v>15</v>
      </c>
      <c r="D93" s="3">
        <v>27</v>
      </c>
    </row>
    <row r="94" spans="1:4" x14ac:dyDescent="0.2">
      <c r="A94" s="7">
        <v>47</v>
      </c>
      <c r="B94" s="3">
        <v>19</v>
      </c>
      <c r="C94" s="3">
        <v>20</v>
      </c>
      <c r="D94" s="3">
        <v>39</v>
      </c>
    </row>
    <row r="95" spans="1:4" x14ac:dyDescent="0.2">
      <c r="A95" s="7">
        <v>48</v>
      </c>
      <c r="B95" s="3">
        <v>16</v>
      </c>
      <c r="C95" s="3">
        <v>13</v>
      </c>
      <c r="D95" s="3">
        <v>29</v>
      </c>
    </row>
    <row r="96" spans="1:4" x14ac:dyDescent="0.2">
      <c r="A96" s="7">
        <v>49</v>
      </c>
      <c r="B96" s="3">
        <v>15</v>
      </c>
      <c r="C96" s="3">
        <v>8</v>
      </c>
      <c r="D96" s="3">
        <v>23</v>
      </c>
    </row>
    <row r="97" spans="1:4" x14ac:dyDescent="0.2">
      <c r="A97" s="7">
        <v>50</v>
      </c>
      <c r="B97" s="3">
        <v>12</v>
      </c>
      <c r="C97" s="3">
        <v>12</v>
      </c>
      <c r="D97" s="3">
        <v>24</v>
      </c>
    </row>
    <row r="98" spans="1:4" x14ac:dyDescent="0.2">
      <c r="A98" s="7">
        <v>51</v>
      </c>
      <c r="B98" s="3">
        <v>10</v>
      </c>
      <c r="C98" s="3">
        <v>12</v>
      </c>
      <c r="D98" s="3">
        <v>22</v>
      </c>
    </row>
    <row r="99" spans="1:4" x14ac:dyDescent="0.2">
      <c r="A99" s="7">
        <v>52</v>
      </c>
      <c r="B99" s="3">
        <v>10</v>
      </c>
      <c r="C99" s="3">
        <v>15</v>
      </c>
      <c r="D99" s="3">
        <v>25</v>
      </c>
    </row>
    <row r="100" spans="1:4" x14ac:dyDescent="0.2">
      <c r="A100" s="7">
        <v>53</v>
      </c>
      <c r="B100" s="3">
        <v>11</v>
      </c>
      <c r="C100" s="3">
        <v>13</v>
      </c>
      <c r="D100" s="3">
        <v>24</v>
      </c>
    </row>
    <row r="101" spans="1:4" x14ac:dyDescent="0.2">
      <c r="A101" s="7">
        <v>54</v>
      </c>
      <c r="B101" s="3">
        <v>5</v>
      </c>
      <c r="C101" s="3">
        <v>11</v>
      </c>
      <c r="D101" s="3">
        <v>16</v>
      </c>
    </row>
    <row r="102" spans="1:4" x14ac:dyDescent="0.2">
      <c r="A102" s="7">
        <v>55</v>
      </c>
      <c r="B102" s="3">
        <v>13</v>
      </c>
      <c r="C102" s="3">
        <v>5</v>
      </c>
      <c r="D102" s="3">
        <v>18</v>
      </c>
    </row>
    <row r="103" spans="1:4" x14ac:dyDescent="0.2">
      <c r="A103" s="7">
        <v>56</v>
      </c>
      <c r="B103" s="3">
        <v>13</v>
      </c>
      <c r="C103" s="3">
        <v>3</v>
      </c>
      <c r="D103" s="3">
        <v>16</v>
      </c>
    </row>
    <row r="104" spans="1:4" x14ac:dyDescent="0.2">
      <c r="A104" s="7">
        <v>57</v>
      </c>
      <c r="B104" s="3">
        <v>4</v>
      </c>
      <c r="C104" s="3">
        <v>4</v>
      </c>
      <c r="D104" s="3">
        <v>8</v>
      </c>
    </row>
    <row r="105" spans="1:4" x14ac:dyDescent="0.2">
      <c r="A105" s="7">
        <v>58</v>
      </c>
      <c r="B105" s="3">
        <v>8</v>
      </c>
      <c r="C105" s="3">
        <v>4</v>
      </c>
      <c r="D105" s="3">
        <v>12</v>
      </c>
    </row>
    <row r="106" spans="1:4" x14ac:dyDescent="0.2">
      <c r="A106" s="7">
        <v>59</v>
      </c>
      <c r="B106" s="3">
        <v>14</v>
      </c>
      <c r="C106" s="3">
        <v>6</v>
      </c>
      <c r="D106" s="3">
        <v>20</v>
      </c>
    </row>
    <row r="107" spans="1:4" x14ac:dyDescent="0.2">
      <c r="A107" s="7">
        <v>60</v>
      </c>
      <c r="B107" s="3">
        <v>8</v>
      </c>
      <c r="C107" s="3">
        <v>7</v>
      </c>
      <c r="D107" s="3">
        <v>15</v>
      </c>
    </row>
    <row r="108" spans="1:4" x14ac:dyDescent="0.2">
      <c r="A108" s="7">
        <v>61</v>
      </c>
      <c r="B108" s="3">
        <v>5</v>
      </c>
      <c r="C108" s="3">
        <v>4</v>
      </c>
      <c r="D108" s="3">
        <v>9</v>
      </c>
    </row>
    <row r="109" spans="1:4" x14ac:dyDescent="0.2">
      <c r="A109" s="7">
        <v>62</v>
      </c>
      <c r="B109" s="3">
        <v>9</v>
      </c>
      <c r="C109" s="3">
        <v>4</v>
      </c>
      <c r="D109" s="3">
        <v>13</v>
      </c>
    </row>
    <row r="110" spans="1:4" x14ac:dyDescent="0.2">
      <c r="A110" s="7">
        <v>63</v>
      </c>
      <c r="B110" s="3">
        <v>7</v>
      </c>
      <c r="C110" s="3">
        <v>2</v>
      </c>
      <c r="D110" s="3">
        <v>9</v>
      </c>
    </row>
    <row r="111" spans="1:4" x14ac:dyDescent="0.2">
      <c r="A111" s="7">
        <v>64</v>
      </c>
      <c r="B111" s="3">
        <v>7</v>
      </c>
      <c r="C111" s="3">
        <v>3</v>
      </c>
      <c r="D111" s="3">
        <v>10</v>
      </c>
    </row>
    <row r="112" spans="1:4" x14ac:dyDescent="0.2">
      <c r="A112" s="7">
        <v>65</v>
      </c>
      <c r="B112" s="3">
        <v>6</v>
      </c>
      <c r="C112" s="3">
        <v>3</v>
      </c>
      <c r="D112" s="3">
        <v>9</v>
      </c>
    </row>
    <row r="113" spans="1:4" x14ac:dyDescent="0.2">
      <c r="A113" s="7">
        <v>66</v>
      </c>
      <c r="B113" s="3">
        <v>8</v>
      </c>
      <c r="C113" s="3">
        <v>6</v>
      </c>
      <c r="D113" s="3">
        <v>14</v>
      </c>
    </row>
    <row r="114" spans="1:4" x14ac:dyDescent="0.2">
      <c r="A114" s="7">
        <v>67</v>
      </c>
      <c r="B114" s="3">
        <v>8</v>
      </c>
      <c r="C114" s="3">
        <v>2</v>
      </c>
      <c r="D114" s="3">
        <v>10</v>
      </c>
    </row>
    <row r="115" spans="1:4" x14ac:dyDescent="0.2">
      <c r="A115" s="7">
        <v>68</v>
      </c>
      <c r="B115" s="3">
        <v>3</v>
      </c>
      <c r="C115" s="3"/>
      <c r="D115" s="3">
        <v>3</v>
      </c>
    </row>
    <row r="116" spans="1:4" x14ac:dyDescent="0.2">
      <c r="A116" s="7">
        <v>69</v>
      </c>
      <c r="B116" s="3">
        <v>8</v>
      </c>
      <c r="C116" s="3"/>
      <c r="D116" s="3">
        <v>8</v>
      </c>
    </row>
    <row r="117" spans="1:4" x14ac:dyDescent="0.2">
      <c r="A117" s="7">
        <v>70</v>
      </c>
      <c r="B117" s="3">
        <v>3</v>
      </c>
      <c r="C117" s="3">
        <v>1</v>
      </c>
      <c r="D117" s="3">
        <v>4</v>
      </c>
    </row>
    <row r="118" spans="1:4" x14ac:dyDescent="0.2">
      <c r="A118" s="7">
        <v>71</v>
      </c>
      <c r="B118" s="3">
        <v>1</v>
      </c>
      <c r="C118" s="3"/>
      <c r="D118" s="3">
        <v>1</v>
      </c>
    </row>
    <row r="119" spans="1:4" x14ac:dyDescent="0.2">
      <c r="A119" s="7">
        <v>72</v>
      </c>
      <c r="B119" s="3"/>
      <c r="C119" s="3">
        <v>1</v>
      </c>
      <c r="D119" s="3">
        <v>1</v>
      </c>
    </row>
    <row r="120" spans="1:4" x14ac:dyDescent="0.2">
      <c r="A120" s="7">
        <v>73</v>
      </c>
      <c r="B120" s="3">
        <v>2</v>
      </c>
      <c r="C120" s="3">
        <v>2</v>
      </c>
      <c r="D120" s="3">
        <v>4</v>
      </c>
    </row>
    <row r="121" spans="1:4" x14ac:dyDescent="0.2">
      <c r="A121" s="7">
        <v>74</v>
      </c>
      <c r="B121" s="3"/>
      <c r="C121" s="3">
        <v>1</v>
      </c>
      <c r="D121" s="3">
        <v>1</v>
      </c>
    </row>
    <row r="122" spans="1:4" x14ac:dyDescent="0.2">
      <c r="A122" s="7">
        <v>78</v>
      </c>
      <c r="B122" s="3">
        <v>1</v>
      </c>
      <c r="C122" s="3">
        <v>1</v>
      </c>
      <c r="D122" s="3">
        <v>2</v>
      </c>
    </row>
    <row r="123" spans="1:4" x14ac:dyDescent="0.2">
      <c r="A123" s="7">
        <v>80</v>
      </c>
      <c r="B123" s="3">
        <v>1</v>
      </c>
      <c r="C123" s="3"/>
      <c r="D123" s="3">
        <v>1</v>
      </c>
    </row>
    <row r="124" spans="1:4" x14ac:dyDescent="0.2">
      <c r="A124" s="7">
        <v>89</v>
      </c>
      <c r="B124" s="3">
        <v>1</v>
      </c>
      <c r="C124" s="3"/>
      <c r="D124" s="3">
        <v>1</v>
      </c>
    </row>
    <row r="125" spans="1:4" x14ac:dyDescent="0.2">
      <c r="A125" s="7" t="s">
        <v>42</v>
      </c>
      <c r="B125" s="3">
        <v>519</v>
      </c>
      <c r="C125" s="3">
        <v>481</v>
      </c>
      <c r="D125"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60142-732A-D94B-BFA8-1FE76A3478A4}">
  <dimension ref="A1:M4"/>
  <sheetViews>
    <sheetView showGridLines="0" tabSelected="1" zoomScaleNormal="100" workbookViewId="0">
      <selection activeCell="O3" sqref="O3"/>
    </sheetView>
  </sheetViews>
  <sheetFormatPr baseColWidth="10" defaultRowHeight="15" x14ac:dyDescent="0.2"/>
  <cols>
    <col min="13" max="13" width="15.5" customWidth="1"/>
  </cols>
  <sheetData>
    <row r="1" spans="1:13" ht="15" customHeight="1" x14ac:dyDescent="0.2">
      <c r="A1" s="10" t="s">
        <v>50</v>
      </c>
      <c r="B1" s="9"/>
      <c r="C1" s="9"/>
      <c r="D1" s="9"/>
      <c r="E1" s="9"/>
      <c r="F1" s="9"/>
      <c r="G1" s="9"/>
      <c r="H1" s="9"/>
      <c r="I1" s="9"/>
      <c r="J1" s="9"/>
      <c r="K1" s="9"/>
      <c r="L1" s="9"/>
      <c r="M1" s="9"/>
    </row>
    <row r="2" spans="1:13" x14ac:dyDescent="0.2">
      <c r="A2" s="9"/>
      <c r="B2" s="9"/>
      <c r="C2" s="9"/>
      <c r="D2" s="9"/>
      <c r="E2" s="9"/>
      <c r="F2" s="9"/>
      <c r="G2" s="9"/>
      <c r="H2" s="9"/>
      <c r="I2" s="9"/>
      <c r="J2" s="9"/>
      <c r="K2" s="9"/>
      <c r="L2" s="9"/>
      <c r="M2" s="9"/>
    </row>
    <row r="3" spans="1:13" x14ac:dyDescent="0.2">
      <c r="A3" s="9"/>
      <c r="B3" s="9"/>
      <c r="C3" s="9"/>
      <c r="D3" s="9"/>
      <c r="E3" s="9"/>
      <c r="F3" s="9"/>
      <c r="G3" s="9"/>
      <c r="H3" s="9"/>
      <c r="I3" s="9"/>
      <c r="J3" s="9"/>
      <c r="K3" s="9"/>
      <c r="L3" s="9"/>
      <c r="M3" s="9"/>
    </row>
    <row r="4" spans="1:13" x14ac:dyDescent="0.2">
      <c r="A4" s="9"/>
      <c r="B4" s="9"/>
      <c r="C4" s="9"/>
      <c r="D4" s="9"/>
      <c r="E4" s="9"/>
      <c r="F4" s="9"/>
      <c r="G4" s="9"/>
      <c r="H4" s="9"/>
      <c r="I4" s="9"/>
      <c r="J4" s="9"/>
      <c r="K4" s="9"/>
      <c r="L4" s="9"/>
      <c r="M4" s="9"/>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2022-03-18T02:50:57Z</dcterms:created>
  <dcterms:modified xsi:type="dcterms:W3CDTF">2026-02-25T10:10:32Z</dcterms:modified>
</cp:coreProperties>
</file>